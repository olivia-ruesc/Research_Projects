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7b45e22aea8b7/Desktop/Honors Project/"/>
    </mc:Choice>
  </mc:AlternateContent>
  <xr:revisionPtr revIDLastSave="41" documentId="8_{A5F147C0-DA53-4D4D-8DF6-05318CF67485}" xr6:coauthVersionLast="47" xr6:coauthVersionMax="47" xr10:uidLastSave="{1CB009A1-B015-408A-8C7F-F15C7BB202BC}"/>
  <bookViews>
    <workbookView xWindow="-110" yWindow="-110" windowWidth="19420" windowHeight="11500" activeTab="1" xr2:uid="{4A7B19DE-07BE-467F-9BC9-123A42B00F18}"/>
  </bookViews>
  <sheets>
    <sheet name="Log, Exp, and Power" sheetId="1" r:id="rId1"/>
    <sheet name="Random 25% (Log, Exp, Pow)" sheetId="2" r:id="rId2"/>
    <sheet name="Random 25% (Log, Exp, Pow)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2" l="1"/>
  <c r="E2" i="3" l="1"/>
  <c r="F2" i="3" s="1"/>
  <c r="I2" i="3"/>
  <c r="J2" i="3" s="1"/>
  <c r="M2" i="3"/>
  <c r="N2" i="3"/>
  <c r="O2" i="3"/>
  <c r="E3" i="3"/>
  <c r="F3" i="3"/>
  <c r="G3" i="3"/>
  <c r="I3" i="3"/>
  <c r="J3" i="3" s="1"/>
  <c r="K3" i="3" s="1"/>
  <c r="M3" i="3"/>
  <c r="N3" i="3" s="1"/>
  <c r="E4" i="3"/>
  <c r="F4" i="3"/>
  <c r="G4" i="3"/>
  <c r="I4" i="3"/>
  <c r="J4" i="3"/>
  <c r="K4" i="3"/>
  <c r="M4" i="3"/>
  <c r="N4" i="3" s="1"/>
  <c r="O4" i="3" s="1"/>
  <c r="E5" i="3"/>
  <c r="F5" i="3" s="1"/>
  <c r="G5" i="3" s="1"/>
  <c r="I5" i="3"/>
  <c r="J5" i="3"/>
  <c r="K5" i="3"/>
  <c r="M5" i="3"/>
  <c r="N5" i="3"/>
  <c r="O5" i="3"/>
  <c r="E6" i="3"/>
  <c r="F6" i="3" s="1"/>
  <c r="G6" i="3" s="1"/>
  <c r="I6" i="3"/>
  <c r="J6" i="3" s="1"/>
  <c r="K6" i="3" s="1"/>
  <c r="M6" i="3"/>
  <c r="N6" i="3"/>
  <c r="O6" i="3"/>
  <c r="E7" i="3"/>
  <c r="F7" i="3"/>
  <c r="G7" i="3"/>
  <c r="I7" i="3"/>
  <c r="J7" i="3" s="1"/>
  <c r="K7" i="3" s="1"/>
  <c r="M7" i="3"/>
  <c r="N7" i="3" s="1"/>
  <c r="O7" i="3" s="1"/>
  <c r="E8" i="3"/>
  <c r="F8" i="3"/>
  <c r="G8" i="3"/>
  <c r="I8" i="3"/>
  <c r="J8" i="3"/>
  <c r="K8" i="3"/>
  <c r="M8" i="3"/>
  <c r="N8" i="3" s="1"/>
  <c r="O8" i="3" s="1"/>
  <c r="E9" i="3"/>
  <c r="F9" i="3" s="1"/>
  <c r="G9" i="3" s="1"/>
  <c r="I9" i="3"/>
  <c r="J9" i="3"/>
  <c r="K9" i="3"/>
  <c r="M9" i="3"/>
  <c r="N9" i="3"/>
  <c r="O9" i="3"/>
  <c r="E10" i="3"/>
  <c r="F10" i="3" s="1"/>
  <c r="G10" i="3" s="1"/>
  <c r="I10" i="3"/>
  <c r="J10" i="3" s="1"/>
  <c r="K10" i="3" s="1"/>
  <c r="M10" i="3"/>
  <c r="N10" i="3"/>
  <c r="O10" i="3"/>
  <c r="E11" i="3"/>
  <c r="F11" i="3"/>
  <c r="G11" i="3"/>
  <c r="I11" i="3"/>
  <c r="J11" i="3" s="1"/>
  <c r="K11" i="3" s="1"/>
  <c r="M11" i="3"/>
  <c r="N11" i="3" s="1"/>
  <c r="O11" i="3" s="1"/>
  <c r="E12" i="3"/>
  <c r="F12" i="3"/>
  <c r="G12" i="3"/>
  <c r="I12" i="3"/>
  <c r="J12" i="3"/>
  <c r="K12" i="3"/>
  <c r="M12" i="3"/>
  <c r="N12" i="3" s="1"/>
  <c r="O12" i="3" s="1"/>
  <c r="E13" i="3"/>
  <c r="F13" i="3" s="1"/>
  <c r="G13" i="3" s="1"/>
  <c r="I13" i="3"/>
  <c r="J13" i="3"/>
  <c r="K13" i="3"/>
  <c r="M13" i="3"/>
  <c r="N13" i="3"/>
  <c r="O13" i="3"/>
  <c r="E14" i="3"/>
  <c r="F14" i="3" s="1"/>
  <c r="G14" i="3" s="1"/>
  <c r="I14" i="3"/>
  <c r="J14" i="3" s="1"/>
  <c r="K14" i="3" s="1"/>
  <c r="M14" i="3"/>
  <c r="N14" i="3"/>
  <c r="O14" i="3"/>
  <c r="E15" i="3"/>
  <c r="F15" i="3"/>
  <c r="G15" i="3"/>
  <c r="I15" i="3"/>
  <c r="J15" i="3" s="1"/>
  <c r="K15" i="3" s="1"/>
  <c r="M15" i="3"/>
  <c r="N15" i="3" s="1"/>
  <c r="O15" i="3" s="1"/>
  <c r="E16" i="3"/>
  <c r="F16" i="3"/>
  <c r="G16" i="3"/>
  <c r="I16" i="3"/>
  <c r="J16" i="3"/>
  <c r="K16" i="3"/>
  <c r="M16" i="3"/>
  <c r="N16" i="3" s="1"/>
  <c r="O16" i="3" s="1"/>
  <c r="E17" i="3"/>
  <c r="F17" i="3" s="1"/>
  <c r="G17" i="3" s="1"/>
  <c r="I17" i="3"/>
  <c r="J17" i="3"/>
  <c r="K17" i="3"/>
  <c r="M17" i="3"/>
  <c r="N17" i="3"/>
  <c r="O17" i="3"/>
  <c r="E18" i="3"/>
  <c r="F18" i="3" s="1"/>
  <c r="G18" i="3" s="1"/>
  <c r="I18" i="3"/>
  <c r="J18" i="3" s="1"/>
  <c r="K18" i="3" s="1"/>
  <c r="M18" i="3"/>
  <c r="N18" i="3"/>
  <c r="O18" i="3"/>
  <c r="E19" i="3"/>
  <c r="F19" i="3"/>
  <c r="G19" i="3"/>
  <c r="I19" i="3"/>
  <c r="J19" i="3" s="1"/>
  <c r="K19" i="3" s="1"/>
  <c r="M19" i="3"/>
  <c r="N19" i="3" s="1"/>
  <c r="O19" i="3" s="1"/>
  <c r="C20" i="3"/>
  <c r="C77" i="3" s="1"/>
  <c r="E2" i="2"/>
  <c r="F2" i="2" s="1"/>
  <c r="I2" i="2"/>
  <c r="J2" i="2" s="1"/>
  <c r="M2" i="2"/>
  <c r="N2" i="2"/>
  <c r="O2" i="2"/>
  <c r="E3" i="2"/>
  <c r="F3" i="2"/>
  <c r="G3" i="2"/>
  <c r="I3" i="2"/>
  <c r="J3" i="2" s="1"/>
  <c r="K3" i="2" s="1"/>
  <c r="M3" i="2"/>
  <c r="N3" i="2" s="1"/>
  <c r="E4" i="2"/>
  <c r="F4" i="2"/>
  <c r="G4" i="2"/>
  <c r="I4" i="2"/>
  <c r="J4" i="2"/>
  <c r="K4" i="2"/>
  <c r="M4" i="2"/>
  <c r="N4" i="2" s="1"/>
  <c r="O4" i="2" s="1"/>
  <c r="E5" i="2"/>
  <c r="F5" i="2" s="1"/>
  <c r="G5" i="2" s="1"/>
  <c r="I5" i="2"/>
  <c r="J5" i="2"/>
  <c r="K5" i="2"/>
  <c r="M5" i="2"/>
  <c r="N5" i="2"/>
  <c r="O5" i="2"/>
  <c r="E6" i="2"/>
  <c r="F6" i="2" s="1"/>
  <c r="G6" i="2" s="1"/>
  <c r="I6" i="2"/>
  <c r="J6" i="2" s="1"/>
  <c r="K6" i="2" s="1"/>
  <c r="M6" i="2"/>
  <c r="N6" i="2"/>
  <c r="O6" i="2"/>
  <c r="E7" i="2"/>
  <c r="F7" i="2"/>
  <c r="G7" i="2"/>
  <c r="I7" i="2"/>
  <c r="J7" i="2" s="1"/>
  <c r="K7" i="2" s="1"/>
  <c r="M7" i="2"/>
  <c r="N7" i="2" s="1"/>
  <c r="O7" i="2" s="1"/>
  <c r="E8" i="2"/>
  <c r="F8" i="2"/>
  <c r="G8" i="2"/>
  <c r="I8" i="2"/>
  <c r="J8" i="2"/>
  <c r="K8" i="2"/>
  <c r="M8" i="2"/>
  <c r="N8" i="2" s="1"/>
  <c r="O8" i="2" s="1"/>
  <c r="E9" i="2"/>
  <c r="F9" i="2" s="1"/>
  <c r="G9" i="2" s="1"/>
  <c r="I9" i="2"/>
  <c r="J9" i="2"/>
  <c r="K9" i="2"/>
  <c r="M9" i="2"/>
  <c r="N9" i="2"/>
  <c r="O9" i="2"/>
  <c r="E10" i="2"/>
  <c r="F10" i="2" s="1"/>
  <c r="G10" i="2" s="1"/>
  <c r="I10" i="2"/>
  <c r="J10" i="2" s="1"/>
  <c r="K10" i="2" s="1"/>
  <c r="M10" i="2"/>
  <c r="N10" i="2"/>
  <c r="O10" i="2"/>
  <c r="E11" i="2"/>
  <c r="F11" i="2"/>
  <c r="G11" i="2"/>
  <c r="I11" i="2"/>
  <c r="J11" i="2" s="1"/>
  <c r="K11" i="2" s="1"/>
  <c r="M11" i="2"/>
  <c r="N11" i="2" s="1"/>
  <c r="O11" i="2" s="1"/>
  <c r="E12" i="2"/>
  <c r="F12" i="2"/>
  <c r="G12" i="2"/>
  <c r="I12" i="2"/>
  <c r="J12" i="2"/>
  <c r="K12" i="2"/>
  <c r="M12" i="2"/>
  <c r="N12" i="2" s="1"/>
  <c r="O12" i="2" s="1"/>
  <c r="E13" i="2"/>
  <c r="F13" i="2" s="1"/>
  <c r="G13" i="2" s="1"/>
  <c r="I13" i="2"/>
  <c r="J13" i="2"/>
  <c r="K13" i="2"/>
  <c r="M13" i="2"/>
  <c r="N13" i="2"/>
  <c r="O13" i="2"/>
  <c r="E14" i="2"/>
  <c r="F14" i="2" s="1"/>
  <c r="G14" i="2" s="1"/>
  <c r="I14" i="2"/>
  <c r="J14" i="2" s="1"/>
  <c r="K14" i="2" s="1"/>
  <c r="M14" i="2"/>
  <c r="N14" i="2"/>
  <c r="O14" i="2"/>
  <c r="E15" i="2"/>
  <c r="F15" i="2"/>
  <c r="G15" i="2"/>
  <c r="I15" i="2"/>
  <c r="J15" i="2" s="1"/>
  <c r="K15" i="2" s="1"/>
  <c r="M15" i="2"/>
  <c r="N15" i="2" s="1"/>
  <c r="O15" i="2" s="1"/>
  <c r="C16" i="2"/>
  <c r="C77" i="2" s="1"/>
  <c r="D2" i="1"/>
  <c r="E2" i="1" s="1"/>
  <c r="H2" i="1"/>
  <c r="I2" i="1"/>
  <c r="J2" i="1"/>
  <c r="L2" i="1"/>
  <c r="M2" i="1"/>
  <c r="N2" i="1"/>
  <c r="D3" i="1"/>
  <c r="E3" i="1"/>
  <c r="F3" i="1"/>
  <c r="H3" i="1"/>
  <c r="I3" i="1" s="1"/>
  <c r="L3" i="1"/>
  <c r="M3" i="1"/>
  <c r="N3" i="1"/>
  <c r="D4" i="1"/>
  <c r="E4" i="1"/>
  <c r="F4" i="1"/>
  <c r="H4" i="1"/>
  <c r="I4" i="1"/>
  <c r="J4" i="1"/>
  <c r="L4" i="1"/>
  <c r="M4" i="1" s="1"/>
  <c r="D5" i="1"/>
  <c r="E5" i="1"/>
  <c r="F5" i="1"/>
  <c r="H5" i="1"/>
  <c r="I5" i="1"/>
  <c r="J5" i="1"/>
  <c r="L5" i="1"/>
  <c r="M5" i="1"/>
  <c r="N5" i="1"/>
  <c r="D6" i="1"/>
  <c r="E6" i="1" s="1"/>
  <c r="F6" i="1" s="1"/>
  <c r="H6" i="1"/>
  <c r="I6" i="1"/>
  <c r="J6" i="1"/>
  <c r="L6" i="1"/>
  <c r="M6" i="1"/>
  <c r="N6" i="1"/>
  <c r="D7" i="1"/>
  <c r="E7" i="1"/>
  <c r="F7" i="1"/>
  <c r="H7" i="1"/>
  <c r="I7" i="1" s="1"/>
  <c r="J7" i="1" s="1"/>
  <c r="L7" i="1"/>
  <c r="M7" i="1"/>
  <c r="N7" i="1"/>
  <c r="D8" i="1"/>
  <c r="E8" i="1"/>
  <c r="F8" i="1"/>
  <c r="H8" i="1"/>
  <c r="I8" i="1"/>
  <c r="J8" i="1"/>
  <c r="L8" i="1"/>
  <c r="M8" i="1" s="1"/>
  <c r="N8" i="1" s="1"/>
  <c r="D9" i="1"/>
  <c r="E9" i="1"/>
  <c r="F9" i="1"/>
  <c r="H9" i="1"/>
  <c r="I9" i="1"/>
  <c r="J9" i="1"/>
  <c r="L9" i="1"/>
  <c r="M9" i="1"/>
  <c r="N9" i="1"/>
  <c r="D10" i="1"/>
  <c r="E10" i="1" s="1"/>
  <c r="F10" i="1" s="1"/>
  <c r="H10" i="1"/>
  <c r="I10" i="1"/>
  <c r="J10" i="1"/>
  <c r="L10" i="1"/>
  <c r="M10" i="1"/>
  <c r="N10" i="1"/>
  <c r="D11" i="1"/>
  <c r="E11" i="1"/>
  <c r="F11" i="1"/>
  <c r="H11" i="1"/>
  <c r="I11" i="1" s="1"/>
  <c r="J11" i="1" s="1"/>
  <c r="L11" i="1"/>
  <c r="M11" i="1"/>
  <c r="N11" i="1"/>
  <c r="D12" i="1"/>
  <c r="E12" i="1"/>
  <c r="F12" i="1"/>
  <c r="H12" i="1"/>
  <c r="I12" i="1"/>
  <c r="J12" i="1"/>
  <c r="L12" i="1"/>
  <c r="M12" i="1" s="1"/>
  <c r="N12" i="1" s="1"/>
  <c r="D13" i="1"/>
  <c r="E13" i="1"/>
  <c r="F13" i="1"/>
  <c r="H13" i="1"/>
  <c r="I13" i="1"/>
  <c r="J13" i="1"/>
  <c r="L13" i="1"/>
  <c r="M13" i="1"/>
  <c r="N13" i="1"/>
  <c r="D14" i="1"/>
  <c r="E14" i="1" s="1"/>
  <c r="F14" i="1" s="1"/>
  <c r="H14" i="1"/>
  <c r="I14" i="1"/>
  <c r="J14" i="1"/>
  <c r="L14" i="1"/>
  <c r="M14" i="1"/>
  <c r="N14" i="1"/>
  <c r="D15" i="1"/>
  <c r="E15" i="1"/>
  <c r="F15" i="1"/>
  <c r="H15" i="1"/>
  <c r="I15" i="1" s="1"/>
  <c r="J15" i="1" s="1"/>
  <c r="L15" i="1"/>
  <c r="M15" i="1"/>
  <c r="N15" i="1"/>
  <c r="G2" i="3" l="1"/>
  <c r="G21" i="3" s="1"/>
  <c r="F21" i="3"/>
  <c r="O3" i="3"/>
  <c r="N21" i="3"/>
  <c r="O21" i="3"/>
  <c r="J21" i="3"/>
  <c r="K2" i="3"/>
  <c r="K21" i="3" s="1"/>
  <c r="N17" i="2"/>
  <c r="O3" i="2"/>
  <c r="O17" i="2" s="1"/>
  <c r="J17" i="2"/>
  <c r="K2" i="2"/>
  <c r="K17" i="2" s="1"/>
  <c r="G2" i="2"/>
  <c r="G17" i="2" s="1"/>
  <c r="F17" i="2"/>
  <c r="J3" i="1"/>
  <c r="J17" i="1" s="1"/>
  <c r="I17" i="1"/>
  <c r="N4" i="1"/>
  <c r="N17" i="1" s="1"/>
  <c r="M17" i="1"/>
  <c r="E17" i="1"/>
  <c r="F2" i="1"/>
  <c r="F17" i="1" s="1"/>
</calcChain>
</file>

<file path=xl/sharedStrings.xml><?xml version="1.0" encoding="utf-8"?>
<sst xmlns="http://schemas.openxmlformats.org/spreadsheetml/2006/main" count="51" uniqueCount="11">
  <si>
    <t>Sum</t>
  </si>
  <si>
    <t>Max</t>
  </si>
  <si>
    <t>Square</t>
  </si>
  <si>
    <t>Absolute Value</t>
  </si>
  <si>
    <t>Power</t>
  </si>
  <si>
    <t>Exp</t>
  </si>
  <si>
    <t>Square e</t>
  </si>
  <si>
    <t>Absolute value</t>
  </si>
  <si>
    <t>Log</t>
  </si>
  <si>
    <t>Fertility Rate Per Year</t>
  </si>
  <si>
    <t>Life Expectancy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</si>
</sst>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44444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3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Logarithmic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2.2515091863517061E-2"/>
                  <c:y val="-0.32846857684456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'Log, Exp, and Power'!$A$2:$A$75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'Log, Exp, and Power'!$B$2:$B$75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E-4F70-B03B-A1E87E1BC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415791"/>
        <c:axId val="1843580847"/>
      </c:scatterChart>
      <c:valAx>
        <c:axId val="473415791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80847"/>
        <c:crosses val="autoZero"/>
        <c:crossBetween val="midCat"/>
      </c:valAx>
      <c:valAx>
        <c:axId val="1843580847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41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Exponential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2515091863517061E-2"/>
                  <c:y val="-0.32846857684456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'Log, Exp, and Power'!$A$2:$A$75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'Log, Exp, and Power'!$B$2:$B$75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77-45DA-82DF-B50CD157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415791"/>
        <c:axId val="1843580847"/>
      </c:scatterChart>
      <c:valAx>
        <c:axId val="473415791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80847"/>
        <c:crosses val="autoZero"/>
        <c:crossBetween val="midCat"/>
      </c:valAx>
      <c:valAx>
        <c:axId val="1843580847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41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2515091863517061E-2"/>
                  <c:y val="-0.32846857684456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'Log, Exp, and Power'!$A$2:$A$75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'Log, Exp, and Power'!$B$2:$B$75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A-4394-B6CD-7ED195F0F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415791"/>
        <c:axId val="1843580847"/>
      </c:scatterChart>
      <c:valAx>
        <c:axId val="473415791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80847"/>
        <c:crosses val="autoZero"/>
        <c:crossBetween val="midCat"/>
      </c:valAx>
      <c:valAx>
        <c:axId val="1843580847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41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65167470577971"/>
          <c:y val="5.7142857142857141E-2"/>
          <c:w val="0.83298238899551413"/>
          <c:h val="0.64465814500460172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2.9365182104202664E-2"/>
                  <c:y val="-0.4610336435218325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 = -9.709ln(L) + 44.09</a:t>
                    </a:r>
                    <a:br>
                      <a:rPr lang="en-US" baseline="0"/>
                    </a:br>
                    <a:r>
                      <a:rPr lang="en-US" baseline="0"/>
                      <a:t>R² = 0.6644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(Log, Exp, Pow)'!$A$17:$A$76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(Log, Exp, Pow)'!$B$17:$B$76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6-4803-86F0-190C94B0D3BD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(Log, Exp, Pow)'!$A$2:$A$15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(Log, Exp, Pow)'!$B$2:$B$15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B-46FE-87DF-BA46C9204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107151902652626"/>
          <c:y val="0.82272665916760401"/>
          <c:w val="0.79888559319649022"/>
          <c:h val="0.17532590244401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31343637213896"/>
          <c:y val="5.7142857142857141E-2"/>
          <c:w val="0.82242942917743578"/>
          <c:h val="0.60309970344616015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3547702895071806E-2"/>
                  <c:y val="-0.3628743225278658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 = 106.83680530e</a:t>
                    </a:r>
                    <a:r>
                      <a:rPr lang="en-US" baseline="30000"/>
                      <a:t>-0.05221278L</a:t>
                    </a:r>
                    <a:br>
                      <a:rPr lang="en-US" baseline="0"/>
                    </a:br>
                    <a:r>
                      <a:rPr lang="en-US" baseline="0"/>
                      <a:t>R² = 0.69793352</a:t>
                    </a:r>
                    <a:endParaRPr lang="en-US"/>
                  </a:p>
                </c:rich>
              </c:tx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(Log, Exp, Pow)'!$A$17:$A$76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(Log, Exp, Pow)'!$B$17:$B$76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87-45F5-95C4-7A9C3DEF3593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(Log, Exp, Pow)'!$A$2:$A$15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(Log, Exp, Pow)'!$B$2:$B$15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D-490F-B9B7-0D4AD4727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1982275499786548E-2"/>
          <c:y val="0.80194743838838334"/>
          <c:w val="0.86985944317667463"/>
          <c:h val="0.17532590244401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65167470577971"/>
          <c:y val="8.3584415584415594E-2"/>
          <c:w val="0.81985940463660767"/>
          <c:h val="0.57146333980979658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830159900491352E-2"/>
                  <c:y val="-0.3438196134574087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 = 42,228,864.02079180L</a:t>
                    </a:r>
                    <a:r>
                      <a:rPr lang="en-US" baseline="30000"/>
                      <a:t>-3.89305020</a:t>
                    </a:r>
                    <a:br>
                      <a:rPr lang="en-US" baseline="0"/>
                    </a:br>
                    <a:r>
                      <a:rPr lang="en-US" baseline="0"/>
                      <a:t>R² = 0.70968466</a:t>
                    </a:r>
                    <a:endParaRPr lang="en-US"/>
                  </a:p>
                </c:rich>
              </c:tx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(Log, Exp, Pow)'!$A$17:$A$76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(Log, Exp, Pow)'!$B$17:$B$76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1-49CD-B7D8-C5A69D69FF5D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(Log, Exp, Pow)'!$A$2:$A$15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(Log, Exp, Pow)'!$B$2:$B$15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9-42FD-99A2-CD9ECAC52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856477911669211E-2"/>
          <c:y val="0.82296022088148058"/>
          <c:w val="0.88298841129490702"/>
          <c:h val="0.17532590244401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Logarithmic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2.8917979002624671E-2"/>
                  <c:y val="-0.271608705161854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(Log, Exp, Pow)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(Log, Exp, Pow)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58-40DE-BE0D-D8A0C84D4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Exponent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8917979002624671E-2"/>
                  <c:y val="-0.27160870516185476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(Log, Exp, Pow)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(Log, Exp, Pow)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31-4FC3-9879-1249A82CB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2583228740438896E-2"/>
                  <c:y val="-0.29581838633807139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(Log, Exp, Pow)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(Log, Exp, Pow)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6-494E-B28A-5AD17F7CD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553508</xdr:colOff>
      <xdr:row>23</xdr:row>
      <xdr:rowOff>40216</xdr:rowOff>
    </xdr:from>
    <xdr:to>
      <xdr:col>10</xdr:col>
      <xdr:colOff>244475</xdr:colOff>
      <xdr:row>37</xdr:row>
      <xdr:rowOff>86783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D2FF-FFCB-4315-BC6D-55D213641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23</xdr:row>
      <xdr:rowOff>52917</xdr:rowOff>
    </xdr:from>
    <xdr:to>
      <xdr:col>18</xdr:col>
      <xdr:colOff>167217</xdr:colOff>
      <xdr:row>37</xdr:row>
      <xdr:rowOff>103717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7CB01E-9996-4FEB-A578-FB3639AAF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412750</xdr:colOff>
      <xdr:row>23</xdr:row>
      <xdr:rowOff>116418</xdr:rowOff>
    </xdr:from>
    <xdr:to>
      <xdr:col>26</xdr:col>
      <xdr:colOff>103717</xdr:colOff>
      <xdr:row>37</xdr:row>
      <xdr:rowOff>183093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252B3F-0D98-4F8B-8D32-01890ECD2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307975</xdr:colOff>
      <xdr:row>18</xdr:row>
      <xdr:rowOff>12700</xdr:rowOff>
    </xdr:from>
    <xdr:to>
      <xdr:col>10</xdr:col>
      <xdr:colOff>495300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53457-47C9-40CC-A938-3713A0073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18</xdr:col>
      <xdr:colOff>187325</xdr:colOff>
      <xdr:row>30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49A6F2-E862-4857-9AF4-4B31C126D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290286</xdr:colOff>
      <xdr:row>31</xdr:row>
      <xdr:rowOff>163286</xdr:rowOff>
    </xdr:from>
    <xdr:to>
      <xdr:col>10</xdr:col>
      <xdr:colOff>477611</xdr:colOff>
      <xdr:row>44</xdr:row>
      <xdr:rowOff>131536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1C2155-820E-4A46-B0D1-5A3DBC526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298903</xdr:colOff>
      <xdr:row>23</xdr:row>
      <xdr:rowOff>130629</xdr:rowOff>
    </xdr:from>
    <xdr:to>
      <xdr:col>10</xdr:col>
      <xdr:colOff>486228</xdr:colOff>
      <xdr:row>36</xdr:row>
      <xdr:rowOff>98879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77FC9-F144-4F00-B191-35959A5D4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136072</xdr:colOff>
      <xdr:row>23</xdr:row>
      <xdr:rowOff>154215</xdr:rowOff>
    </xdr:from>
    <xdr:to>
      <xdr:col>18</xdr:col>
      <xdr:colOff>323397</xdr:colOff>
      <xdr:row>36</xdr:row>
      <xdr:rowOff>122465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015017-6C3F-4833-8BFC-BFAFADA3B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272144</xdr:colOff>
      <xdr:row>37</xdr:row>
      <xdr:rowOff>54428</xdr:rowOff>
    </xdr:from>
    <xdr:to>
      <xdr:col>10</xdr:col>
      <xdr:colOff>459469</xdr:colOff>
      <xdr:row>50</xdr:row>
      <xdr:rowOff>22678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C60E22-C436-4854-A06D-211074EE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919A-F123-467D-98AC-B89AACB27ADD}">
  <dimension ref="A1:N75"/>
  <sheetViews>
    <sheetView topLeftCell="A48" zoomScale="80" zoomScaleNormal="80" workbookViewId="0">
      <selection activeCell="A2" sqref="A2:A75"/>
    </sheetView>
  </sheetViews>
  <sheetFormatPr defaultRowHeight="14.5" x14ac:dyDescent="0.35"/>
  <cols>
    <col min="1" max="1" width="21.1796875" style="2" bestFit="1" customWidth="1"/>
    <col min="2" max="2" width="18.7265625" style="1" bestFit="1" customWidth="1"/>
    <col min="12" max="12" width="11.26953125" bestFit="1" customWidth="1"/>
  </cols>
  <sheetData>
    <row r="1" spans="1:14" x14ac:dyDescent="0.35">
      <c r="A1" s="2" t="s">
        <v>10</v>
      </c>
      <c r="B1" s="1" t="s">
        <v>9</v>
      </c>
      <c r="D1" t="s">
        <v>8</v>
      </c>
      <c r="E1" t="s">
        <v>7</v>
      </c>
      <c r="F1" t="s">
        <v>6</v>
      </c>
      <c r="H1" t="s">
        <v>5</v>
      </c>
      <c r="I1" t="s">
        <v>3</v>
      </c>
      <c r="J1" t="s">
        <v>2</v>
      </c>
      <c r="L1" t="s">
        <v>4</v>
      </c>
      <c r="M1" t="s">
        <v>3</v>
      </c>
      <c r="N1" t="s">
        <v>2</v>
      </c>
    </row>
    <row r="2" spans="1:14" x14ac:dyDescent="0.35">
      <c r="A2" s="2">
        <v>68.14</v>
      </c>
      <c r="B2" s="1">
        <v>3.1480000000000001</v>
      </c>
      <c r="D2">
        <f t="shared" ref="D2:D15" si="0">-9.801*LN(A2)+44.477</f>
        <v>3.1014471957061218</v>
      </c>
      <c r="E2">
        <f t="shared" ref="E2:E15" si="1">ABS(D2-B2)</f>
        <v>4.6552804293878314E-2</v>
      </c>
      <c r="F2">
        <f t="shared" ref="F2:F15" si="2">E2^2</f>
        <v>2.1671635876241353E-3</v>
      </c>
      <c r="H2">
        <f t="shared" ref="H2:H15" si="3">107.67*EXP(-0.052*A2)</f>
        <v>3.1136354355168065</v>
      </c>
      <c r="I2">
        <f t="shared" ref="I2:I15" si="4">ABS(H2-B2)</f>
        <v>3.4364564483193583E-2</v>
      </c>
      <c r="J2">
        <f t="shared" ref="J2:J15" si="5">I2^2</f>
        <v>1.1809232921195698E-3</v>
      </c>
      <c r="L2">
        <f t="shared" ref="L2:L15" si="6">40000000*A2^-3.903</f>
        <v>2.7944187131060425</v>
      </c>
      <c r="M2">
        <f t="shared" ref="M2:M15" si="7">ABS(L2-B2)</f>
        <v>0.35358128689395762</v>
      </c>
      <c r="N2">
        <f t="shared" ref="N2:N15" si="8">M2^2</f>
        <v>0.12501972644158718</v>
      </c>
    </row>
    <row r="3" spans="1:14" x14ac:dyDescent="0.35">
      <c r="A3" s="2">
        <v>68.33</v>
      </c>
      <c r="B3" s="1">
        <v>3.2029999999999998</v>
      </c>
      <c r="D3">
        <f t="shared" si="0"/>
        <v>3.0741563449228693</v>
      </c>
      <c r="E3">
        <f t="shared" si="1"/>
        <v>0.12884365507713058</v>
      </c>
      <c r="F3">
        <f t="shared" si="2"/>
        <v>1.6600687453634598E-2</v>
      </c>
      <c r="H3">
        <f t="shared" si="3"/>
        <v>3.0830241859943661</v>
      </c>
      <c r="I3">
        <f t="shared" si="4"/>
        <v>0.11997581400563373</v>
      </c>
      <c r="J3">
        <f t="shared" si="5"/>
        <v>1.4394195946314419E-2</v>
      </c>
      <c r="L3">
        <f t="shared" si="6"/>
        <v>2.7642137073495205</v>
      </c>
      <c r="M3">
        <f t="shared" si="7"/>
        <v>0.4387862926504793</v>
      </c>
      <c r="N3">
        <f t="shared" si="8"/>
        <v>0.19253341061795207</v>
      </c>
    </row>
    <row r="4" spans="1:14" x14ac:dyDescent="0.35">
      <c r="A4" s="2">
        <v>68.52</v>
      </c>
      <c r="B4" s="1">
        <v>3.2570000000000001</v>
      </c>
      <c r="D4">
        <f t="shared" si="0"/>
        <v>3.0469412744585256</v>
      </c>
      <c r="E4">
        <f t="shared" si="1"/>
        <v>0.21005872554147453</v>
      </c>
      <c r="F4">
        <f t="shared" si="2"/>
        <v>4.4124668176108522E-2</v>
      </c>
      <c r="H4">
        <f t="shared" si="3"/>
        <v>3.052713886476103</v>
      </c>
      <c r="I4">
        <f t="shared" si="4"/>
        <v>0.20428611352389714</v>
      </c>
      <c r="J4">
        <f t="shared" si="5"/>
        <v>4.173281617869859E-2</v>
      </c>
      <c r="L4">
        <f t="shared" si="6"/>
        <v>2.7344177058457553</v>
      </c>
      <c r="M4">
        <f t="shared" si="7"/>
        <v>0.52258229415424484</v>
      </c>
      <c r="N4">
        <f t="shared" si="8"/>
        <v>0.27309225416351368</v>
      </c>
    </row>
    <row r="5" spans="1:14" x14ac:dyDescent="0.35">
      <c r="A5" s="2">
        <v>68.709999999999994</v>
      </c>
      <c r="B5" s="1">
        <v>3.3109999999999999</v>
      </c>
      <c r="D5">
        <f t="shared" si="0"/>
        <v>3.0198015646297023</v>
      </c>
      <c r="E5">
        <f t="shared" si="1"/>
        <v>0.29119843537029766</v>
      </c>
      <c r="F5">
        <f t="shared" si="2"/>
        <v>8.4796528762109427E-2</v>
      </c>
      <c r="H5">
        <f t="shared" si="3"/>
        <v>3.0227015782162479</v>
      </c>
      <c r="I5">
        <f t="shared" si="4"/>
        <v>0.28829842178375209</v>
      </c>
      <c r="J5">
        <f t="shared" si="5"/>
        <v>8.3115980003002216E-2</v>
      </c>
      <c r="L5">
        <f t="shared" si="6"/>
        <v>2.7050240590938097</v>
      </c>
      <c r="M5">
        <f t="shared" si="7"/>
        <v>0.60597594090619022</v>
      </c>
      <c r="N5">
        <f t="shared" si="8"/>
        <v>0.36720684095714257</v>
      </c>
    </row>
    <row r="6" spans="1:14" x14ac:dyDescent="0.35">
      <c r="A6" s="2">
        <v>68.900000000000006</v>
      </c>
      <c r="B6" s="1">
        <v>3.3650000000000002</v>
      </c>
      <c r="D6">
        <f t="shared" si="0"/>
        <v>2.9927367992297675</v>
      </c>
      <c r="E6">
        <f t="shared" si="1"/>
        <v>0.37226320077023267</v>
      </c>
      <c r="F6">
        <f t="shared" si="2"/>
        <v>0.13857989064769857</v>
      </c>
      <c r="H6">
        <f t="shared" si="3"/>
        <v>2.9929843315575035</v>
      </c>
      <c r="I6">
        <f t="shared" si="4"/>
        <v>0.37201566844249667</v>
      </c>
      <c r="J6">
        <f t="shared" si="5"/>
        <v>0.13839565756671762</v>
      </c>
      <c r="L6">
        <f t="shared" si="6"/>
        <v>2.6760262436651838</v>
      </c>
      <c r="M6">
        <f t="shared" si="7"/>
        <v>0.68897375633481639</v>
      </c>
      <c r="N6">
        <f t="shared" si="8"/>
        <v>0.47468483691810692</v>
      </c>
    </row>
    <row r="7" spans="1:14" x14ac:dyDescent="0.35">
      <c r="A7" s="2">
        <v>69.09</v>
      </c>
      <c r="B7" s="1">
        <v>3.419</v>
      </c>
      <c r="D7">
        <f t="shared" si="0"/>
        <v>2.9657465654905977</v>
      </c>
      <c r="E7">
        <f t="shared" si="1"/>
        <v>0.45325343450940236</v>
      </c>
      <c r="F7">
        <f t="shared" si="2"/>
        <v>0.2054386758945691</v>
      </c>
      <c r="H7">
        <f t="shared" si="3"/>
        <v>2.9635592456450759</v>
      </c>
      <c r="I7">
        <f t="shared" si="4"/>
        <v>0.45544075435492415</v>
      </c>
      <c r="J7">
        <f t="shared" si="5"/>
        <v>0.20742628072738237</v>
      </c>
      <c r="L7">
        <f t="shared" si="6"/>
        <v>2.6474178594747331</v>
      </c>
      <c r="M7">
        <f t="shared" si="7"/>
        <v>0.77158214052526697</v>
      </c>
      <c r="N7">
        <f t="shared" si="8"/>
        <v>0.59533899957755287</v>
      </c>
    </row>
    <row r="8" spans="1:14" ht="15" thickBot="1" x14ac:dyDescent="0.4">
      <c r="A8" s="2">
        <v>69.28</v>
      </c>
      <c r="B8" s="1">
        <v>3.4740000000000002</v>
      </c>
      <c r="D8">
        <f t="shared" si="0"/>
        <v>2.9388304540447834</v>
      </c>
      <c r="E8">
        <f t="shared" si="1"/>
        <v>0.53516954595521682</v>
      </c>
      <c r="F8">
        <f t="shared" si="2"/>
        <v>0.28640644291791295</v>
      </c>
      <c r="H8">
        <f t="shared" si="3"/>
        <v>2.9344234481434914</v>
      </c>
      <c r="I8">
        <f t="shared" si="4"/>
        <v>0.53957655185650877</v>
      </c>
      <c r="J8">
        <f t="shared" si="5"/>
        <v>0.29114285531335971</v>
      </c>
      <c r="L8">
        <f t="shared" si="6"/>
        <v>2.6191926271179917</v>
      </c>
      <c r="M8">
        <f t="shared" si="7"/>
        <v>0.85480737288200848</v>
      </c>
      <c r="N8">
        <f t="shared" si="8"/>
        <v>0.73069564473344106</v>
      </c>
    </row>
    <row r="9" spans="1:14" ht="15" thickBot="1" x14ac:dyDescent="0.4">
      <c r="A9" s="2">
        <v>69.47</v>
      </c>
      <c r="B9" s="4">
        <v>3.528</v>
      </c>
      <c r="D9">
        <f t="shared" si="0"/>
        <v>2.9119880588883547</v>
      </c>
      <c r="E9">
        <f t="shared" si="1"/>
        <v>0.61601194111164537</v>
      </c>
      <c r="F9">
        <f t="shared" si="2"/>
        <v>0.37947071159213724</v>
      </c>
      <c r="H9">
        <f t="shared" si="3"/>
        <v>2.9055740949562221</v>
      </c>
      <c r="I9">
        <f t="shared" si="4"/>
        <v>0.62242590504377793</v>
      </c>
      <c r="J9">
        <f t="shared" si="5"/>
        <v>0.38741400726956604</v>
      </c>
      <c r="L9">
        <f t="shared" si="6"/>
        <v>2.5913443852730587</v>
      </c>
      <c r="M9">
        <f t="shared" si="7"/>
        <v>0.93665561472694137</v>
      </c>
      <c r="N9">
        <f t="shared" si="8"/>
        <v>0.87732374059950446</v>
      </c>
    </row>
    <row r="10" spans="1:14" ht="15" thickBot="1" x14ac:dyDescent="0.4">
      <c r="A10" s="2">
        <v>69.66</v>
      </c>
      <c r="B10" s="4">
        <v>3.5819999999999999</v>
      </c>
      <c r="D10">
        <f t="shared" si="0"/>
        <v>2.8852189773440813</v>
      </c>
      <c r="E10">
        <f t="shared" si="1"/>
        <v>0.69678102265591857</v>
      </c>
      <c r="F10">
        <f t="shared" si="2"/>
        <v>0.48550379353342771</v>
      </c>
      <c r="H10">
        <f t="shared" si="3"/>
        <v>2.8770083699480593</v>
      </c>
      <c r="I10">
        <f t="shared" si="4"/>
        <v>0.70499163005194054</v>
      </c>
      <c r="J10">
        <f t="shared" si="5"/>
        <v>0.49701319844329217</v>
      </c>
      <c r="L10">
        <f t="shared" si="6"/>
        <v>2.5638670881653023</v>
      </c>
      <c r="M10">
        <f t="shared" si="7"/>
        <v>1.0181329118346976</v>
      </c>
      <c r="N10">
        <f t="shared" si="8"/>
        <v>1.036594626161</v>
      </c>
    </row>
    <row r="11" spans="1:14" ht="15" thickBot="1" x14ac:dyDescent="0.4">
      <c r="A11" s="2">
        <v>69.75</v>
      </c>
      <c r="B11" s="4">
        <v>3.512</v>
      </c>
      <c r="D11">
        <f t="shared" si="0"/>
        <v>2.872564359704846</v>
      </c>
      <c r="E11">
        <f t="shared" si="1"/>
        <v>0.63943564029515398</v>
      </c>
      <c r="F11">
        <f t="shared" si="2"/>
        <v>0.40887793807967354</v>
      </c>
      <c r="H11">
        <f t="shared" si="3"/>
        <v>2.8635754283777732</v>
      </c>
      <c r="I11">
        <f t="shared" si="4"/>
        <v>0.64842457162222678</v>
      </c>
      <c r="J11">
        <f t="shared" si="5"/>
        <v>0.42045442508346831</v>
      </c>
      <c r="L11">
        <f t="shared" si="6"/>
        <v>2.5509792857617595</v>
      </c>
      <c r="M11">
        <f t="shared" si="7"/>
        <v>0.96102071423824054</v>
      </c>
      <c r="N11">
        <f t="shared" si="8"/>
        <v>0.92356081319497796</v>
      </c>
    </row>
    <row r="12" spans="1:14" ht="15" thickBot="1" x14ac:dyDescent="0.4">
      <c r="A12" s="2">
        <v>69.84</v>
      </c>
      <c r="B12" s="4">
        <v>3.4430000000000001</v>
      </c>
      <c r="D12">
        <f t="shared" si="0"/>
        <v>2.8599260600812642</v>
      </c>
      <c r="E12">
        <f t="shared" si="1"/>
        <v>0.58307393991873591</v>
      </c>
      <c r="F12">
        <f t="shared" si="2"/>
        <v>0.33997521941235764</v>
      </c>
      <c r="H12">
        <f t="shared" si="3"/>
        <v>2.8502052060964242</v>
      </c>
      <c r="I12">
        <f t="shared" si="4"/>
        <v>0.59279479390357581</v>
      </c>
      <c r="J12">
        <f t="shared" si="5"/>
        <v>0.35140566767918291</v>
      </c>
      <c r="L12">
        <f t="shared" si="6"/>
        <v>2.5381727601264918</v>
      </c>
      <c r="M12">
        <f t="shared" si="7"/>
        <v>0.90482723987350822</v>
      </c>
      <c r="N12">
        <f t="shared" si="8"/>
        <v>0.81871233401711119</v>
      </c>
    </row>
    <row r="13" spans="1:14" ht="15" thickBot="1" x14ac:dyDescent="0.4">
      <c r="A13" s="2">
        <v>69.930000000000007</v>
      </c>
      <c r="B13" s="4">
        <v>3.3730000000000002</v>
      </c>
      <c r="D13">
        <f t="shared" si="0"/>
        <v>2.8473040364436812</v>
      </c>
      <c r="E13">
        <f t="shared" si="1"/>
        <v>0.52569596355631898</v>
      </c>
      <c r="F13">
        <f t="shared" si="2"/>
        <v>0.27635624609940668</v>
      </c>
      <c r="H13">
        <f t="shared" si="3"/>
        <v>2.8368974102635209</v>
      </c>
      <c r="I13">
        <f t="shared" si="4"/>
        <v>0.53610258973647928</v>
      </c>
      <c r="J13">
        <f t="shared" si="5"/>
        <v>0.28740598672215983</v>
      </c>
      <c r="L13">
        <f t="shared" si="6"/>
        <v>2.5254468949392708</v>
      </c>
      <c r="M13">
        <f t="shared" si="7"/>
        <v>0.84755310506072945</v>
      </c>
      <c r="N13">
        <f t="shared" si="8"/>
        <v>0.71834626589808392</v>
      </c>
    </row>
    <row r="14" spans="1:14" ht="15" thickBot="1" x14ac:dyDescent="0.4">
      <c r="A14" s="2">
        <v>70.02</v>
      </c>
      <c r="B14" s="4">
        <v>3.3039999999999998</v>
      </c>
      <c r="D14">
        <f t="shared" si="0"/>
        <v>2.8346982469245816</v>
      </c>
      <c r="E14">
        <f t="shared" si="1"/>
        <v>0.46930175307541822</v>
      </c>
      <c r="F14">
        <f t="shared" si="2"/>
        <v>0.22024413543966082</v>
      </c>
      <c r="H14">
        <f t="shared" si="3"/>
        <v>2.8236517494058671</v>
      </c>
      <c r="I14">
        <f t="shared" si="4"/>
        <v>0.48034825059413278</v>
      </c>
      <c r="J14">
        <f t="shared" si="5"/>
        <v>0.23073444184884379</v>
      </c>
      <c r="L14">
        <f t="shared" si="6"/>
        <v>2.5128010793380526</v>
      </c>
      <c r="M14">
        <f t="shared" si="7"/>
        <v>0.79119892066194719</v>
      </c>
      <c r="N14">
        <f t="shared" si="8"/>
        <v>0.62599573205663017</v>
      </c>
    </row>
    <row r="15" spans="1:14" ht="15" thickBot="1" x14ac:dyDescent="0.4">
      <c r="A15" s="2">
        <v>70.11</v>
      </c>
      <c r="B15" s="4">
        <v>3.234</v>
      </c>
      <c r="D15">
        <f t="shared" si="0"/>
        <v>2.8221086498177854</v>
      </c>
      <c r="E15">
        <f t="shared" si="1"/>
        <v>0.41189135018221457</v>
      </c>
      <c r="F15">
        <f t="shared" si="2"/>
        <v>0.16965448435492772</v>
      </c>
      <c r="H15">
        <f t="shared" si="3"/>
        <v>2.8104679334111675</v>
      </c>
      <c r="I15">
        <f t="shared" si="4"/>
        <v>0.42353206658883247</v>
      </c>
      <c r="J15">
        <f t="shared" si="5"/>
        <v>0.17937941142900721</v>
      </c>
      <c r="L15">
        <f t="shared" si="6"/>
        <v>2.5002347078638194</v>
      </c>
      <c r="M15">
        <f t="shared" si="7"/>
        <v>0.73376529213618058</v>
      </c>
      <c r="N15">
        <f t="shared" si="8"/>
        <v>0.53841150394369441</v>
      </c>
    </row>
    <row r="16" spans="1:14" ht="15" thickBot="1" x14ac:dyDescent="0.4">
      <c r="A16" s="2">
        <v>70.16</v>
      </c>
      <c r="B16" s="4">
        <v>3.0960000000000001</v>
      </c>
      <c r="E16" t="s">
        <v>1</v>
      </c>
      <c r="F16" t="s">
        <v>0</v>
      </c>
      <c r="I16" t="s">
        <v>1</v>
      </c>
      <c r="J16" t="s">
        <v>0</v>
      </c>
      <c r="M16" t="s">
        <v>1</v>
      </c>
      <c r="N16" t="s">
        <v>0</v>
      </c>
    </row>
    <row r="17" spans="1:14" ht="15" thickBot="1" x14ac:dyDescent="0.4">
      <c r="A17" s="2">
        <v>70.209999999999994</v>
      </c>
      <c r="B17" s="4">
        <v>2.9580000000000002</v>
      </c>
      <c r="E17">
        <f>MAX(E2:E15)</f>
        <v>0.69678102265591857</v>
      </c>
      <c r="F17">
        <f>SUM(F2:F15)</f>
        <v>3.058196585951249</v>
      </c>
      <c r="I17">
        <f>MAX(I2:I15)</f>
        <v>0.70499163005194054</v>
      </c>
      <c r="J17">
        <f>SUM(J2:J15)</f>
        <v>3.1311958475031147</v>
      </c>
      <c r="M17">
        <f>MAX(M2:M15)</f>
        <v>1.0181329118346976</v>
      </c>
      <c r="N17">
        <f>SUM(N2:N15)</f>
        <v>8.2975167292802983</v>
      </c>
    </row>
    <row r="18" spans="1:14" ht="15" thickBot="1" x14ac:dyDescent="0.4">
      <c r="A18" s="2">
        <v>70.260000000000005</v>
      </c>
      <c r="B18" s="4">
        <v>2.819</v>
      </c>
    </row>
    <row r="19" spans="1:14" ht="15" thickBot="1" x14ac:dyDescent="0.4">
      <c r="A19" s="2">
        <v>70.31</v>
      </c>
      <c r="B19" s="4">
        <v>2.681</v>
      </c>
    </row>
    <row r="20" spans="1:14" ht="15" thickBot="1" x14ac:dyDescent="0.4">
      <c r="A20" s="2">
        <v>70.36</v>
      </c>
      <c r="B20" s="4">
        <v>2.5430000000000001</v>
      </c>
    </row>
    <row r="21" spans="1:14" ht="15" thickBot="1" x14ac:dyDescent="0.4">
      <c r="A21" s="2">
        <v>70.569999999999993</v>
      </c>
      <c r="B21" s="4">
        <v>2.44</v>
      </c>
    </row>
    <row r="22" spans="1:14" ht="15" thickBot="1" x14ac:dyDescent="0.4">
      <c r="A22" s="2">
        <v>70.78</v>
      </c>
      <c r="B22" s="4">
        <v>2.3370000000000002</v>
      </c>
    </row>
    <row r="23" spans="1:14" ht="15" thickBot="1" x14ac:dyDescent="0.4">
      <c r="A23" s="2">
        <v>71</v>
      </c>
      <c r="B23" s="4">
        <v>2.2349999999999999</v>
      </c>
    </row>
    <row r="24" spans="1:14" ht="15" thickBot="1" x14ac:dyDescent="0.4">
      <c r="A24" s="2">
        <v>71.209999999999994</v>
      </c>
      <c r="B24" s="4">
        <v>2.1320000000000001</v>
      </c>
    </row>
    <row r="25" spans="1:14" ht="15" thickBot="1" x14ac:dyDescent="0.4">
      <c r="A25" s="2">
        <v>71.42</v>
      </c>
      <c r="B25" s="4">
        <v>2.0289999999999999</v>
      </c>
    </row>
    <row r="26" spans="1:14" ht="15" thickBot="1" x14ac:dyDescent="0.4">
      <c r="A26" s="2">
        <v>71.790000000000006</v>
      </c>
      <c r="B26" s="4">
        <v>1.978</v>
      </c>
    </row>
    <row r="27" spans="1:14" ht="15" thickBot="1" x14ac:dyDescent="0.4">
      <c r="A27" s="2">
        <v>72.150000000000006</v>
      </c>
      <c r="B27" s="4">
        <v>1.9259999999999999</v>
      </c>
    </row>
    <row r="28" spans="1:14" ht="15" thickBot="1" x14ac:dyDescent="0.4">
      <c r="A28" s="2">
        <v>72.52</v>
      </c>
      <c r="B28" s="4">
        <v>1.875</v>
      </c>
    </row>
    <row r="29" spans="1:14" ht="15" thickBot="1" x14ac:dyDescent="0.4">
      <c r="A29" s="2">
        <v>72.88</v>
      </c>
      <c r="B29" s="4">
        <v>1.823</v>
      </c>
    </row>
    <row r="30" spans="1:14" ht="15" thickBot="1" x14ac:dyDescent="0.4">
      <c r="A30" s="2">
        <v>73.25</v>
      </c>
      <c r="B30" s="4">
        <v>1.772</v>
      </c>
    </row>
    <row r="31" spans="1:14" ht="15" thickBot="1" x14ac:dyDescent="0.4">
      <c r="A31" s="2">
        <v>73.47</v>
      </c>
      <c r="B31" s="4">
        <v>1.778</v>
      </c>
    </row>
    <row r="32" spans="1:14" ht="15" thickBot="1" x14ac:dyDescent="0.4">
      <c r="A32" s="2">
        <v>73.7</v>
      </c>
      <c r="B32" s="4">
        <v>1.7849999999999999</v>
      </c>
    </row>
    <row r="33" spans="1:2" ht="15" thickBot="1" x14ac:dyDescent="0.4">
      <c r="A33" s="2">
        <v>73.92</v>
      </c>
      <c r="B33" s="4">
        <v>1.7909999999999999</v>
      </c>
    </row>
    <row r="34" spans="1:2" ht="15" thickBot="1" x14ac:dyDescent="0.4">
      <c r="A34" s="2">
        <v>74.150000000000006</v>
      </c>
      <c r="B34" s="4">
        <v>1.798</v>
      </c>
    </row>
    <row r="35" spans="1:2" ht="15" thickBot="1" x14ac:dyDescent="0.4">
      <c r="A35" s="2">
        <v>74.37</v>
      </c>
      <c r="B35" s="4">
        <v>1.804</v>
      </c>
    </row>
    <row r="36" spans="1:2" ht="15" thickBot="1" x14ac:dyDescent="0.4">
      <c r="A36" s="2">
        <v>74.47</v>
      </c>
      <c r="B36" s="4">
        <v>1.8260000000000001</v>
      </c>
    </row>
    <row r="37" spans="1:2" ht="15" thickBot="1" x14ac:dyDescent="0.4">
      <c r="A37" s="2">
        <v>74.58</v>
      </c>
      <c r="B37" s="4">
        <v>1.8480000000000001</v>
      </c>
    </row>
    <row r="38" spans="1:2" ht="15" thickBot="1" x14ac:dyDescent="0.4">
      <c r="A38" s="2">
        <v>74.680000000000007</v>
      </c>
      <c r="B38" s="4">
        <v>1.871</v>
      </c>
    </row>
    <row r="39" spans="1:2" ht="15" thickBot="1" x14ac:dyDescent="0.4">
      <c r="A39" s="2">
        <v>74.790000000000006</v>
      </c>
      <c r="B39" s="4">
        <v>1.893</v>
      </c>
    </row>
    <row r="40" spans="1:2" ht="15" thickBot="1" x14ac:dyDescent="0.4">
      <c r="A40" s="2">
        <v>74.89</v>
      </c>
      <c r="B40" s="4">
        <v>1.915</v>
      </c>
    </row>
    <row r="41" spans="1:2" ht="15" thickBot="1" x14ac:dyDescent="0.4">
      <c r="A41" s="2">
        <v>75.040000000000006</v>
      </c>
      <c r="B41" s="4">
        <v>1.9379999999999999</v>
      </c>
    </row>
    <row r="42" spans="1:2" ht="15" thickBot="1" x14ac:dyDescent="0.4">
      <c r="A42" s="2">
        <v>75.19</v>
      </c>
      <c r="B42" s="4">
        <v>1.9610000000000001</v>
      </c>
    </row>
    <row r="43" spans="1:2" ht="15" thickBot="1" x14ac:dyDescent="0.4">
      <c r="A43" s="2">
        <v>75.349999999999994</v>
      </c>
      <c r="B43" s="4">
        <v>1.984</v>
      </c>
    </row>
    <row r="44" spans="1:2" ht="15" thickBot="1" x14ac:dyDescent="0.4">
      <c r="A44" s="2">
        <v>75.5</v>
      </c>
      <c r="B44" s="4">
        <v>2.0070000000000001</v>
      </c>
    </row>
    <row r="45" spans="1:2" ht="15" thickBot="1" x14ac:dyDescent="0.4">
      <c r="A45" s="2">
        <v>75.650000000000006</v>
      </c>
      <c r="B45" s="4">
        <v>2.0299999999999998</v>
      </c>
    </row>
    <row r="46" spans="1:2" ht="15" thickBot="1" x14ac:dyDescent="0.4">
      <c r="A46" s="2">
        <v>75.81</v>
      </c>
      <c r="B46" s="4">
        <v>2.0230000000000001</v>
      </c>
    </row>
    <row r="47" spans="1:2" ht="15" thickBot="1" x14ac:dyDescent="0.4">
      <c r="A47" s="2">
        <v>75.98</v>
      </c>
      <c r="B47" s="4">
        <v>2.016</v>
      </c>
    </row>
    <row r="48" spans="1:2" ht="15" thickBot="1" x14ac:dyDescent="0.4">
      <c r="A48" s="2">
        <v>76.14</v>
      </c>
      <c r="B48" s="4">
        <v>2.0099999999999998</v>
      </c>
    </row>
    <row r="49" spans="1:2" ht="15" thickBot="1" x14ac:dyDescent="0.4">
      <c r="A49" s="2">
        <v>76.31</v>
      </c>
      <c r="B49" s="4">
        <v>2.0030000000000001</v>
      </c>
    </row>
    <row r="50" spans="1:2" ht="15" thickBot="1" x14ac:dyDescent="0.4">
      <c r="A50" s="2">
        <v>76.47</v>
      </c>
      <c r="B50" s="4">
        <v>1.996</v>
      </c>
    </row>
    <row r="51" spans="1:2" ht="15" thickBot="1" x14ac:dyDescent="0.4">
      <c r="A51" s="3">
        <v>76.61</v>
      </c>
      <c r="B51" s="4">
        <v>2.0049999999999999</v>
      </c>
    </row>
    <row r="52" spans="1:2" ht="15" thickBot="1" x14ac:dyDescent="0.4">
      <c r="A52" s="3">
        <v>76.75</v>
      </c>
      <c r="B52" s="4">
        <v>2.0139999999999998</v>
      </c>
    </row>
    <row r="53" spans="1:2" ht="15" thickBot="1" x14ac:dyDescent="0.4">
      <c r="A53" s="3">
        <v>76.900000000000006</v>
      </c>
      <c r="B53" s="4">
        <v>2.024</v>
      </c>
    </row>
    <row r="54" spans="1:2" ht="15" thickBot="1" x14ac:dyDescent="0.4">
      <c r="A54" s="3">
        <v>77.040000000000006</v>
      </c>
      <c r="B54" s="4">
        <v>2.0329999999999999</v>
      </c>
    </row>
    <row r="55" spans="1:2" ht="15" thickBot="1" x14ac:dyDescent="0.4">
      <c r="A55" s="3">
        <v>77.180000000000007</v>
      </c>
      <c r="B55" s="4">
        <v>2.0419999999999998</v>
      </c>
    </row>
    <row r="56" spans="1:2" ht="15" thickBot="1" x14ac:dyDescent="0.4">
      <c r="A56" s="3">
        <v>77.38</v>
      </c>
      <c r="B56" s="4">
        <v>2.0449999999999999</v>
      </c>
    </row>
    <row r="57" spans="1:2" ht="15" thickBot="1" x14ac:dyDescent="0.4">
      <c r="A57" s="3">
        <v>77.58</v>
      </c>
      <c r="B57" s="4">
        <v>2.0470000000000002</v>
      </c>
    </row>
    <row r="58" spans="1:2" ht="15" thickBot="1" x14ac:dyDescent="0.4">
      <c r="A58" s="3">
        <v>77.790000000000006</v>
      </c>
      <c r="B58" s="4">
        <v>2.0499999999999998</v>
      </c>
    </row>
    <row r="59" spans="1:2" ht="15" thickBot="1" x14ac:dyDescent="0.4">
      <c r="A59" s="3">
        <v>77.989999999999995</v>
      </c>
      <c r="B59" s="4">
        <v>2.052</v>
      </c>
    </row>
    <row r="60" spans="1:2" ht="15" thickBot="1" x14ac:dyDescent="0.4">
      <c r="A60" s="3">
        <v>78.19</v>
      </c>
      <c r="B60" s="4">
        <v>2.0550000000000002</v>
      </c>
    </row>
    <row r="61" spans="1:2" ht="15" thickBot="1" x14ac:dyDescent="0.4">
      <c r="A61" s="3">
        <v>78.34</v>
      </c>
      <c r="B61" s="4">
        <v>2.0190000000000001</v>
      </c>
    </row>
    <row r="62" spans="1:2" ht="15" thickBot="1" x14ac:dyDescent="0.4">
      <c r="A62" s="3">
        <v>78.489999999999995</v>
      </c>
      <c r="B62" s="4">
        <v>1.9830000000000001</v>
      </c>
    </row>
    <row r="63" spans="1:2" ht="15" thickBot="1" x14ac:dyDescent="0.4">
      <c r="A63" s="3">
        <v>78.64</v>
      </c>
      <c r="B63" s="4">
        <v>1.9470000000000001</v>
      </c>
    </row>
    <row r="64" spans="1:2" ht="15" thickBot="1" x14ac:dyDescent="0.4">
      <c r="A64" s="3">
        <v>78.790000000000006</v>
      </c>
      <c r="B64" s="4">
        <v>1.911</v>
      </c>
    </row>
    <row r="65" spans="1:2" ht="15" thickBot="1" x14ac:dyDescent="0.4">
      <c r="A65" s="3">
        <v>78.94</v>
      </c>
      <c r="B65" s="4">
        <v>1.875</v>
      </c>
    </row>
    <row r="66" spans="1:2" ht="15" thickBot="1" x14ac:dyDescent="0.4">
      <c r="A66" s="3">
        <v>78.91</v>
      </c>
      <c r="B66" s="4">
        <v>1.855</v>
      </c>
    </row>
    <row r="67" spans="1:2" ht="15" thickBot="1" x14ac:dyDescent="0.4">
      <c r="A67" s="3">
        <v>78.89</v>
      </c>
      <c r="B67" s="4">
        <v>1.835</v>
      </c>
    </row>
    <row r="68" spans="1:2" ht="15" thickBot="1" x14ac:dyDescent="0.4">
      <c r="A68" s="3">
        <v>78.86</v>
      </c>
      <c r="B68" s="4">
        <v>1.8160000000000001</v>
      </c>
    </row>
    <row r="69" spans="1:2" ht="15" thickBot="1" x14ac:dyDescent="0.4">
      <c r="A69" s="3">
        <v>78.84</v>
      </c>
      <c r="B69" s="4">
        <v>1.796</v>
      </c>
    </row>
    <row r="70" spans="1:2" ht="15" thickBot="1" x14ac:dyDescent="0.4">
      <c r="A70" s="3">
        <v>78.81</v>
      </c>
      <c r="B70" s="4">
        <v>1.776</v>
      </c>
    </row>
    <row r="71" spans="1:2" ht="15" thickBot="1" x14ac:dyDescent="0.4">
      <c r="A71" s="3">
        <v>78.87</v>
      </c>
      <c r="B71" s="4">
        <v>1.778</v>
      </c>
    </row>
    <row r="72" spans="1:2" x14ac:dyDescent="0.35">
      <c r="A72" s="3">
        <v>78.930000000000007</v>
      </c>
      <c r="B72" s="1">
        <v>1.7789999999999999</v>
      </c>
    </row>
    <row r="73" spans="1:2" x14ac:dyDescent="0.35">
      <c r="A73" s="3">
        <v>78.989999999999995</v>
      </c>
      <c r="B73" s="1">
        <v>1.7809999999999999</v>
      </c>
    </row>
    <row r="74" spans="1:2" x14ac:dyDescent="0.35">
      <c r="A74" s="3">
        <v>79.05</v>
      </c>
      <c r="B74" s="1">
        <v>1.782</v>
      </c>
    </row>
    <row r="75" spans="1:2" x14ac:dyDescent="0.35">
      <c r="A75" s="3">
        <v>79.11</v>
      </c>
      <c r="B75" s="1">
        <v>1.784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7053-9C1F-4F6B-9A76-E1A935903816}">
  <dimension ref="A1:Y77"/>
  <sheetViews>
    <sheetView tabSelected="1" topLeftCell="A15" zoomScale="70" zoomScaleNormal="70" workbookViewId="0">
      <selection activeCell="P36" sqref="P36"/>
    </sheetView>
  </sheetViews>
  <sheetFormatPr defaultRowHeight="14.5" x14ac:dyDescent="0.35"/>
  <cols>
    <col min="1" max="1" width="21.1796875" style="2" bestFit="1" customWidth="1"/>
    <col min="2" max="2" width="18.7265625" style="1" bestFit="1" customWidth="1"/>
    <col min="13" max="13" width="11.81640625" bestFit="1" customWidth="1"/>
    <col min="25" max="25" width="11.453125" bestFit="1" customWidth="1"/>
  </cols>
  <sheetData>
    <row r="1" spans="1:25" x14ac:dyDescent="0.35">
      <c r="A1" s="2" t="s">
        <v>10</v>
      </c>
      <c r="B1" s="1" t="s">
        <v>9</v>
      </c>
      <c r="E1" t="s">
        <v>8</v>
      </c>
      <c r="F1" t="s">
        <v>7</v>
      </c>
      <c r="G1" t="s">
        <v>6</v>
      </c>
      <c r="I1" t="s">
        <v>5</v>
      </c>
      <c r="J1" t="s">
        <v>3</v>
      </c>
      <c r="K1" t="s">
        <v>2</v>
      </c>
      <c r="M1" t="s">
        <v>4</v>
      </c>
      <c r="N1" t="s">
        <v>3</v>
      </c>
      <c r="O1" t="s">
        <v>2</v>
      </c>
    </row>
    <row r="2" spans="1:25" x14ac:dyDescent="0.35">
      <c r="A2" s="2">
        <v>69.75</v>
      </c>
      <c r="B2" s="5">
        <v>3.512</v>
      </c>
      <c r="C2">
        <v>0</v>
      </c>
      <c r="E2">
        <f t="shared" ref="E2:E15" si="0">-9.709*LN(A2)+44.09</f>
        <v>2.8760967624093894</v>
      </c>
      <c r="F2">
        <f t="shared" ref="F2:F15" si="1">ABS(B2-E2)</f>
        <v>0.63590323759061063</v>
      </c>
      <c r="G2">
        <f t="shared" ref="G2:G15" si="2">F2^2</f>
        <v>0.40437292757822058</v>
      </c>
      <c r="I2">
        <f t="shared" ref="I2:I15" si="3">106.8368053*EXP(-0.05221278*A2)</f>
        <v>2.7995566939923382</v>
      </c>
      <c r="J2">
        <f t="shared" ref="J2:J15" si="4">ABS(B2-I2)</f>
        <v>0.71244330600766181</v>
      </c>
      <c r="K2">
        <f t="shared" ref="K2:K15" si="5">J2^2</f>
        <v>0.5075754642751269</v>
      </c>
      <c r="M2">
        <f t="shared" ref="M2:M15" si="6">42228864.0207918*A2^-3.8930502</f>
        <v>2.8093072229871132</v>
      </c>
      <c r="N2">
        <f t="shared" ref="N2:N15" si="7">ABS(B2-M2)</f>
        <v>0.70269277701288679</v>
      </c>
      <c r="O2">
        <f t="shared" ref="O2:O15" si="8">N2^2</f>
        <v>0.49377713886608265</v>
      </c>
      <c r="Y2" s="7"/>
    </row>
    <row r="3" spans="1:25" x14ac:dyDescent="0.35">
      <c r="A3" s="2">
        <v>69.84</v>
      </c>
      <c r="B3" s="5">
        <v>3.4430000000000001</v>
      </c>
      <c r="C3">
        <v>0</v>
      </c>
      <c r="E3">
        <f t="shared" si="0"/>
        <v>2.8635770959421549</v>
      </c>
      <c r="F3">
        <f t="shared" si="1"/>
        <v>0.57942290405784513</v>
      </c>
      <c r="G3">
        <f t="shared" si="2"/>
        <v>0.33573090174682679</v>
      </c>
      <c r="I3">
        <f t="shared" si="3"/>
        <v>2.7864320181569866</v>
      </c>
      <c r="J3">
        <f t="shared" si="4"/>
        <v>0.65656798184301346</v>
      </c>
      <c r="K3">
        <f t="shared" si="5"/>
        <v>0.43108151478140766</v>
      </c>
      <c r="M3">
        <f t="shared" si="6"/>
        <v>2.7952396925597736</v>
      </c>
      <c r="N3">
        <f t="shared" si="7"/>
        <v>0.6477603074402265</v>
      </c>
      <c r="O3">
        <f t="shared" si="8"/>
        <v>0.41959341589505678</v>
      </c>
      <c r="Y3" s="7"/>
    </row>
    <row r="4" spans="1:25" x14ac:dyDescent="0.35">
      <c r="A4" s="2">
        <v>70.78</v>
      </c>
      <c r="B4" s="5">
        <v>2.3370000000000002</v>
      </c>
      <c r="C4">
        <v>0</v>
      </c>
      <c r="E4">
        <f t="shared" si="0"/>
        <v>2.7337720050277738</v>
      </c>
      <c r="F4">
        <f t="shared" si="1"/>
        <v>0.39677200502777366</v>
      </c>
      <c r="G4">
        <f t="shared" si="2"/>
        <v>0.15742802397375966</v>
      </c>
      <c r="I4">
        <f t="shared" si="3"/>
        <v>2.6529757053085508</v>
      </c>
      <c r="J4">
        <f t="shared" si="4"/>
        <v>0.31597570530855057</v>
      </c>
      <c r="K4">
        <f t="shared" si="5"/>
        <v>9.9840646345235998E-2</v>
      </c>
      <c r="M4">
        <f t="shared" si="6"/>
        <v>2.653473347994721</v>
      </c>
      <c r="N4">
        <f t="shared" si="7"/>
        <v>0.31647334799472082</v>
      </c>
      <c r="O4">
        <f t="shared" si="8"/>
        <v>0.10015537999098767</v>
      </c>
      <c r="Y4" s="7"/>
    </row>
    <row r="5" spans="1:25" x14ac:dyDescent="0.35">
      <c r="A5" s="2">
        <v>71.790000000000006</v>
      </c>
      <c r="B5" s="5">
        <v>1.978</v>
      </c>
      <c r="C5">
        <v>0</v>
      </c>
      <c r="E5">
        <f t="shared" si="0"/>
        <v>2.5962079445773085</v>
      </c>
      <c r="F5">
        <f t="shared" si="1"/>
        <v>0.61820794457730854</v>
      </c>
      <c r="G5">
        <f t="shared" si="2"/>
        <v>0.38218106273850061</v>
      </c>
      <c r="I5">
        <f t="shared" si="3"/>
        <v>2.5166962006271283</v>
      </c>
      <c r="J5">
        <f t="shared" si="4"/>
        <v>0.53869620062712831</v>
      </c>
      <c r="K5">
        <f t="shared" si="5"/>
        <v>0.2901935965701033</v>
      </c>
      <c r="M5">
        <f t="shared" si="6"/>
        <v>2.511072512670971</v>
      </c>
      <c r="N5">
        <f t="shared" si="7"/>
        <v>0.533072512670971</v>
      </c>
      <c r="O5">
        <f t="shared" si="8"/>
        <v>0.28416630376534252</v>
      </c>
      <c r="Y5" s="7"/>
    </row>
    <row r="6" spans="1:25" x14ac:dyDescent="0.35">
      <c r="A6" s="2">
        <v>74.150000000000006</v>
      </c>
      <c r="B6" s="5">
        <v>1.798</v>
      </c>
      <c r="C6">
        <v>0</v>
      </c>
      <c r="E6">
        <f t="shared" si="0"/>
        <v>2.2821715241185174</v>
      </c>
      <c r="F6">
        <f t="shared" si="1"/>
        <v>0.48417152411851738</v>
      </c>
      <c r="G6">
        <f t="shared" si="2"/>
        <v>0.23442206476724806</v>
      </c>
      <c r="I6">
        <f t="shared" si="3"/>
        <v>2.2249286530797248</v>
      </c>
      <c r="J6">
        <f t="shared" si="4"/>
        <v>0.42692865307972472</v>
      </c>
      <c r="K6">
        <f t="shared" si="5"/>
        <v>0.18226807482046795</v>
      </c>
      <c r="M6">
        <f t="shared" si="6"/>
        <v>2.213975401993677</v>
      </c>
      <c r="N6">
        <f t="shared" si="7"/>
        <v>0.415975401993677</v>
      </c>
      <c r="O6">
        <f t="shared" si="8"/>
        <v>0.17303553506380118</v>
      </c>
      <c r="Y6" s="7"/>
    </row>
    <row r="7" spans="1:25" x14ac:dyDescent="0.35">
      <c r="A7" s="2">
        <v>74.37</v>
      </c>
      <c r="B7" s="5">
        <v>1.804</v>
      </c>
      <c r="C7">
        <v>0</v>
      </c>
      <c r="E7">
        <f t="shared" si="0"/>
        <v>2.2534079695500466</v>
      </c>
      <c r="F7">
        <f t="shared" si="1"/>
        <v>0.44940796955004658</v>
      </c>
      <c r="G7">
        <f t="shared" si="2"/>
        <v>0.20196752309509561</v>
      </c>
      <c r="I7">
        <f t="shared" si="3"/>
        <v>2.1995175425470057</v>
      </c>
      <c r="J7">
        <f t="shared" si="4"/>
        <v>0.39551754254700566</v>
      </c>
      <c r="K7">
        <f t="shared" si="5"/>
        <v>0.15643412646242244</v>
      </c>
      <c r="M7">
        <f t="shared" si="6"/>
        <v>2.1885873835059848</v>
      </c>
      <c r="N7">
        <f t="shared" si="7"/>
        <v>0.38458738350598476</v>
      </c>
      <c r="O7">
        <f t="shared" si="8"/>
        <v>0.1479074555519794</v>
      </c>
      <c r="Y7" s="7"/>
    </row>
    <row r="8" spans="1:25" ht="15" thickBot="1" x14ac:dyDescent="0.4">
      <c r="A8" s="2">
        <v>75.19</v>
      </c>
      <c r="B8" s="5">
        <v>1.9610000000000001</v>
      </c>
      <c r="C8">
        <v>0</v>
      </c>
      <c r="E8">
        <f t="shared" si="0"/>
        <v>2.1469428749271202</v>
      </c>
      <c r="F8">
        <f t="shared" si="1"/>
        <v>0.18594287492712014</v>
      </c>
      <c r="G8">
        <f t="shared" si="2"/>
        <v>3.4574752736162645E-2</v>
      </c>
      <c r="I8">
        <f t="shared" si="3"/>
        <v>2.1073338238092747</v>
      </c>
      <c r="J8">
        <f t="shared" si="4"/>
        <v>0.14633382380927462</v>
      </c>
      <c r="K8">
        <f t="shared" si="5"/>
        <v>2.1413587990643829E-2</v>
      </c>
      <c r="M8">
        <f t="shared" si="6"/>
        <v>2.0971234925694016</v>
      </c>
      <c r="N8">
        <f t="shared" si="7"/>
        <v>0.13612349256940148</v>
      </c>
      <c r="O8">
        <f t="shared" si="8"/>
        <v>1.8529605229291899E-2</v>
      </c>
      <c r="Y8" s="7"/>
    </row>
    <row r="9" spans="1:25" ht="15" thickBot="1" x14ac:dyDescent="0.4">
      <c r="A9" s="2">
        <v>75.349999999999994</v>
      </c>
      <c r="B9" s="4">
        <v>1.984</v>
      </c>
      <c r="C9">
        <v>0</v>
      </c>
      <c r="E9">
        <f t="shared" si="0"/>
        <v>2.1263046314710579</v>
      </c>
      <c r="F9">
        <f t="shared" si="1"/>
        <v>0.14230463147105787</v>
      </c>
      <c r="G9">
        <f t="shared" si="2"/>
        <v>2.0250608138113597E-2</v>
      </c>
      <c r="I9">
        <f t="shared" si="3"/>
        <v>2.0898023937724357</v>
      </c>
      <c r="J9">
        <f t="shared" si="4"/>
        <v>0.10580239377243572</v>
      </c>
      <c r="K9">
        <f t="shared" si="5"/>
        <v>1.1194146527977546E-2</v>
      </c>
      <c r="M9">
        <f t="shared" si="6"/>
        <v>2.079840597169897</v>
      </c>
      <c r="N9">
        <f t="shared" si="7"/>
        <v>9.5840597169897013E-2</v>
      </c>
      <c r="O9">
        <f t="shared" si="8"/>
        <v>9.185420065882471E-3</v>
      </c>
      <c r="Y9" s="7"/>
    </row>
    <row r="10" spans="1:25" ht="15" thickBot="1" x14ac:dyDescent="0.4">
      <c r="A10" s="2">
        <v>75.98</v>
      </c>
      <c r="B10" s="4">
        <v>2.016</v>
      </c>
      <c r="C10">
        <v>0</v>
      </c>
      <c r="E10">
        <f t="shared" si="0"/>
        <v>2.0454653354032217</v>
      </c>
      <c r="F10">
        <f t="shared" si="1"/>
        <v>2.9465335403221715E-2</v>
      </c>
      <c r="G10">
        <f t="shared" si="2"/>
        <v>8.6820599042435097E-4</v>
      </c>
      <c r="I10">
        <f t="shared" si="3"/>
        <v>2.0221786335422824</v>
      </c>
      <c r="J10">
        <f t="shared" si="4"/>
        <v>6.1786335422824301E-3</v>
      </c>
      <c r="K10">
        <f t="shared" si="5"/>
        <v>3.8175512449817531E-5</v>
      </c>
      <c r="M10">
        <f t="shared" si="6"/>
        <v>2.0135047329273625</v>
      </c>
      <c r="N10">
        <f t="shared" si="7"/>
        <v>2.4952670726374748E-3</v>
      </c>
      <c r="O10">
        <f t="shared" si="8"/>
        <v>6.2263577637887931E-6</v>
      </c>
      <c r="Y10" s="7"/>
    </row>
    <row r="11" spans="1:25" ht="15" thickBot="1" x14ac:dyDescent="0.4">
      <c r="A11" s="2">
        <v>76.31</v>
      </c>
      <c r="B11" s="4">
        <v>2.0030000000000001</v>
      </c>
      <c r="C11">
        <v>0</v>
      </c>
      <c r="E11">
        <f t="shared" si="0"/>
        <v>2.0033880484533313</v>
      </c>
      <c r="F11">
        <f t="shared" si="1"/>
        <v>3.880484533311801E-4</v>
      </c>
      <c r="G11">
        <f t="shared" si="2"/>
        <v>1.5058160213272107E-7</v>
      </c>
      <c r="I11">
        <f t="shared" si="3"/>
        <v>1.9876345120448256</v>
      </c>
      <c r="J11">
        <f t="shared" si="4"/>
        <v>1.5365487955174562E-2</v>
      </c>
      <c r="K11">
        <f t="shared" si="5"/>
        <v>2.3609822010061453E-4</v>
      </c>
      <c r="M11">
        <f t="shared" si="6"/>
        <v>1.979818119077871</v>
      </c>
      <c r="N11">
        <f t="shared" si="7"/>
        <v>2.3181880922129139E-2</v>
      </c>
      <c r="O11">
        <f t="shared" si="8"/>
        <v>5.3739960308777496E-4</v>
      </c>
      <c r="Y11" s="7"/>
    </row>
    <row r="12" spans="1:25" ht="15" thickBot="1" x14ac:dyDescent="0.4">
      <c r="A12" s="3">
        <v>76.75</v>
      </c>
      <c r="B12" s="4">
        <v>2.0139999999999998</v>
      </c>
      <c r="C12">
        <v>0</v>
      </c>
      <c r="E12">
        <f t="shared" si="0"/>
        <v>1.9475671707889219</v>
      </c>
      <c r="F12">
        <f t="shared" si="1"/>
        <v>6.6432829211077848E-2</v>
      </c>
      <c r="G12">
        <f t="shared" si="2"/>
        <v>4.4133207969882385E-3</v>
      </c>
      <c r="I12">
        <f t="shared" si="3"/>
        <v>1.9424918761184056</v>
      </c>
      <c r="J12">
        <f t="shared" si="4"/>
        <v>7.1508123881594221E-2</v>
      </c>
      <c r="K12">
        <f t="shared" si="5"/>
        <v>5.1134117810654259E-3</v>
      </c>
      <c r="M12">
        <f t="shared" si="6"/>
        <v>1.9359967254160042</v>
      </c>
      <c r="N12">
        <f t="shared" si="7"/>
        <v>7.8003274583995585E-2</v>
      </c>
      <c r="O12">
        <f t="shared" si="8"/>
        <v>6.0845108458262116E-3</v>
      </c>
      <c r="Y12" s="7"/>
    </row>
    <row r="13" spans="1:25" ht="15" thickBot="1" x14ac:dyDescent="0.4">
      <c r="A13" s="3">
        <v>76.900000000000006</v>
      </c>
      <c r="B13" s="4">
        <v>2.024</v>
      </c>
      <c r="C13">
        <v>0</v>
      </c>
      <c r="E13">
        <f t="shared" si="0"/>
        <v>1.9286104449488946</v>
      </c>
      <c r="F13">
        <f t="shared" si="1"/>
        <v>9.5389555051105468E-2</v>
      </c>
      <c r="G13">
        <f t="shared" si="2"/>
        <v>9.09916721284788E-3</v>
      </c>
      <c r="I13">
        <f t="shared" si="3"/>
        <v>1.9273378609269065</v>
      </c>
      <c r="J13">
        <f t="shared" si="4"/>
        <v>9.6662139073093511E-2</v>
      </c>
      <c r="K13">
        <f t="shared" si="5"/>
        <v>9.3435691301860715E-3</v>
      </c>
      <c r="M13">
        <f t="shared" si="6"/>
        <v>1.9213367268125729</v>
      </c>
      <c r="N13">
        <f t="shared" si="7"/>
        <v>0.10266327318742707</v>
      </c>
      <c r="O13">
        <f t="shared" si="8"/>
        <v>1.0539747661556282E-2</v>
      </c>
      <c r="Y13" s="7"/>
    </row>
    <row r="14" spans="1:25" ht="15" thickBot="1" x14ac:dyDescent="0.4">
      <c r="A14" s="3">
        <v>77.180000000000007</v>
      </c>
      <c r="B14" s="4">
        <v>2.0419999999999998</v>
      </c>
      <c r="C14">
        <v>0</v>
      </c>
      <c r="E14">
        <f t="shared" si="0"/>
        <v>1.8933232825331316</v>
      </c>
      <c r="F14">
        <f t="shared" si="1"/>
        <v>0.14867671746686817</v>
      </c>
      <c r="G14">
        <f t="shared" si="2"/>
        <v>2.2104766316722941E-2</v>
      </c>
      <c r="I14">
        <f t="shared" si="3"/>
        <v>1.8993659608646813</v>
      </c>
      <c r="J14">
        <f t="shared" si="4"/>
        <v>0.14263403913531847</v>
      </c>
      <c r="K14">
        <f t="shared" si="5"/>
        <v>2.034446912005556E-2</v>
      </c>
      <c r="M14">
        <f t="shared" si="6"/>
        <v>1.8943427491517453</v>
      </c>
      <c r="N14">
        <f t="shared" si="7"/>
        <v>0.14765725084825454</v>
      </c>
      <c r="O14">
        <f t="shared" si="8"/>
        <v>2.1802663728064366E-2</v>
      </c>
      <c r="Y14" s="7"/>
    </row>
    <row r="15" spans="1:25" ht="15" thickBot="1" x14ac:dyDescent="0.4">
      <c r="A15" s="3">
        <v>78.489999999999995</v>
      </c>
      <c r="B15" s="4">
        <v>1.9830000000000001</v>
      </c>
      <c r="C15">
        <v>0</v>
      </c>
      <c r="E15">
        <f t="shared" si="0"/>
        <v>1.7299123460011501</v>
      </c>
      <c r="F15">
        <f t="shared" si="1"/>
        <v>0.25308765399885003</v>
      </c>
      <c r="G15">
        <f t="shared" si="2"/>
        <v>6.4053360606641629E-2</v>
      </c>
      <c r="I15">
        <f t="shared" si="3"/>
        <v>1.7737951148059268</v>
      </c>
      <c r="J15">
        <f t="shared" si="4"/>
        <v>0.20920488519407332</v>
      </c>
      <c r="K15">
        <f t="shared" si="5"/>
        <v>4.37666839890654E-2</v>
      </c>
      <c r="M15">
        <f t="shared" si="6"/>
        <v>1.7741980436418043</v>
      </c>
      <c r="N15">
        <f t="shared" si="7"/>
        <v>0.20880195635819576</v>
      </c>
      <c r="O15">
        <f t="shared" si="8"/>
        <v>4.3598256979009889E-2</v>
      </c>
      <c r="Y15" s="7"/>
    </row>
    <row r="16" spans="1:25" ht="15" thickBot="1" x14ac:dyDescent="0.4">
      <c r="B16" s="6"/>
      <c r="C16">
        <f>60/74</f>
        <v>0.81081081081081086</v>
      </c>
      <c r="F16" t="s">
        <v>1</v>
      </c>
      <c r="G16" t="s">
        <v>0</v>
      </c>
      <c r="J16" t="s">
        <v>1</v>
      </c>
      <c r="K16" t="s">
        <v>0</v>
      </c>
      <c r="N16" t="s">
        <v>1</v>
      </c>
      <c r="O16" t="s">
        <v>0</v>
      </c>
    </row>
    <row r="17" spans="1:20" ht="15" thickBot="1" x14ac:dyDescent="0.4">
      <c r="A17" s="2">
        <v>68.14</v>
      </c>
      <c r="B17" s="6">
        <v>3.1480000000000001</v>
      </c>
      <c r="C17">
        <v>1</v>
      </c>
      <c r="F17">
        <f>MAX(F2:F15)</f>
        <v>0.63590323759061063</v>
      </c>
      <c r="G17">
        <f>SUM(G2:G15)</f>
        <v>1.8714668362791549</v>
      </c>
      <c r="J17">
        <f>MAX(J2:J15)</f>
        <v>0.71244330600766181</v>
      </c>
      <c r="K17">
        <f>SUM(K2:K15)</f>
        <v>1.7788435655263084</v>
      </c>
      <c r="N17">
        <f>MAX(N2:N15)</f>
        <v>0.70269277701288679</v>
      </c>
      <c r="O17">
        <f>SUM(O2:O15)</f>
        <v>1.7289190596037332</v>
      </c>
    </row>
    <row r="18" spans="1:20" ht="15" thickBot="1" x14ac:dyDescent="0.4">
      <c r="A18" s="2">
        <v>68.33</v>
      </c>
      <c r="B18" s="6">
        <v>3.2029999999999998</v>
      </c>
      <c r="C18">
        <v>1</v>
      </c>
    </row>
    <row r="19" spans="1:20" ht="15" thickBot="1" x14ac:dyDescent="0.4">
      <c r="A19" s="2">
        <v>68.52</v>
      </c>
      <c r="B19" s="6">
        <v>3.2570000000000001</v>
      </c>
      <c r="C19">
        <v>1</v>
      </c>
    </row>
    <row r="20" spans="1:20" ht="15" thickBot="1" x14ac:dyDescent="0.4">
      <c r="A20" s="2">
        <v>68.709999999999994</v>
      </c>
      <c r="B20" s="6">
        <v>3.3109999999999999</v>
      </c>
      <c r="C20">
        <v>1</v>
      </c>
    </row>
    <row r="21" spans="1:20" ht="15" thickBot="1" x14ac:dyDescent="0.4">
      <c r="A21" s="2">
        <v>68.900000000000006</v>
      </c>
      <c r="B21" s="6">
        <v>3.3650000000000002</v>
      </c>
      <c r="C21">
        <v>1</v>
      </c>
    </row>
    <row r="22" spans="1:20" ht="15" thickBot="1" x14ac:dyDescent="0.4">
      <c r="A22" s="2">
        <v>69.09</v>
      </c>
      <c r="B22" s="6">
        <v>3.419</v>
      </c>
      <c r="C22">
        <v>1</v>
      </c>
      <c r="T22" s="2"/>
    </row>
    <row r="23" spans="1:20" ht="15" thickBot="1" x14ac:dyDescent="0.4">
      <c r="A23" s="2">
        <v>69.28</v>
      </c>
      <c r="B23" s="6">
        <v>3.4740000000000002</v>
      </c>
      <c r="C23">
        <v>1</v>
      </c>
      <c r="T23" s="2"/>
    </row>
    <row r="24" spans="1:20" ht="15" thickBot="1" x14ac:dyDescent="0.4">
      <c r="A24" s="2">
        <v>69.47</v>
      </c>
      <c r="B24" s="4">
        <v>3.528</v>
      </c>
      <c r="C24">
        <v>1</v>
      </c>
      <c r="T24" s="2"/>
    </row>
    <row r="25" spans="1:20" ht="15" thickBot="1" x14ac:dyDescent="0.4">
      <c r="A25" s="2">
        <v>69.66</v>
      </c>
      <c r="B25" s="4">
        <v>3.5819999999999999</v>
      </c>
      <c r="C25">
        <v>1</v>
      </c>
      <c r="T25" s="2"/>
    </row>
    <row r="26" spans="1:20" ht="15" thickBot="1" x14ac:dyDescent="0.4">
      <c r="A26" s="2">
        <v>69.930000000000007</v>
      </c>
      <c r="B26" s="4">
        <v>3.3730000000000002</v>
      </c>
      <c r="C26">
        <v>1</v>
      </c>
      <c r="T26" s="2"/>
    </row>
    <row r="27" spans="1:20" ht="15" thickBot="1" x14ac:dyDescent="0.4">
      <c r="A27" s="2">
        <v>70.02</v>
      </c>
      <c r="B27" s="4">
        <v>3.3039999999999998</v>
      </c>
      <c r="C27">
        <v>1</v>
      </c>
      <c r="T27" s="2"/>
    </row>
    <row r="28" spans="1:20" ht="15" thickBot="1" x14ac:dyDescent="0.4">
      <c r="A28" s="2">
        <v>70.11</v>
      </c>
      <c r="B28" s="4">
        <v>3.234</v>
      </c>
      <c r="C28">
        <v>1</v>
      </c>
      <c r="T28" s="2"/>
    </row>
    <row r="29" spans="1:20" ht="15" thickBot="1" x14ac:dyDescent="0.4">
      <c r="A29" s="2">
        <v>70.16</v>
      </c>
      <c r="B29" s="4">
        <v>3.0960000000000001</v>
      </c>
      <c r="C29">
        <v>1</v>
      </c>
      <c r="T29" s="2"/>
    </row>
    <row r="30" spans="1:20" ht="15" thickBot="1" x14ac:dyDescent="0.4">
      <c r="A30" s="2">
        <v>70.209999999999994</v>
      </c>
      <c r="B30" s="4">
        <v>2.9580000000000002</v>
      </c>
      <c r="C30">
        <v>1</v>
      </c>
      <c r="T30" s="2"/>
    </row>
    <row r="31" spans="1:20" ht="15" thickBot="1" x14ac:dyDescent="0.4">
      <c r="A31" s="2">
        <v>70.260000000000005</v>
      </c>
      <c r="B31" s="4">
        <v>2.819</v>
      </c>
      <c r="C31">
        <v>1</v>
      </c>
      <c r="T31" s="2"/>
    </row>
    <row r="32" spans="1:20" ht="15" thickBot="1" x14ac:dyDescent="0.4">
      <c r="A32" s="2">
        <v>70.31</v>
      </c>
      <c r="B32" s="4">
        <v>2.681</v>
      </c>
      <c r="C32">
        <v>1</v>
      </c>
      <c r="T32" s="2"/>
    </row>
    <row r="33" spans="1:20" ht="15" thickBot="1" x14ac:dyDescent="0.4">
      <c r="A33" s="2">
        <v>70.36</v>
      </c>
      <c r="B33" s="4">
        <v>2.5430000000000001</v>
      </c>
      <c r="C33">
        <v>1</v>
      </c>
      <c r="T33" s="3"/>
    </row>
    <row r="34" spans="1:20" ht="15" thickBot="1" x14ac:dyDescent="0.4">
      <c r="A34" s="2">
        <v>70.569999999999993</v>
      </c>
      <c r="B34" s="4">
        <v>2.44</v>
      </c>
      <c r="C34">
        <v>1</v>
      </c>
      <c r="M34">
        <f>1-0.70984</f>
        <v>0.29015999999999997</v>
      </c>
      <c r="T34" s="3"/>
    </row>
    <row r="35" spans="1:20" ht="15" thickBot="1" x14ac:dyDescent="0.4">
      <c r="A35" s="2">
        <v>71</v>
      </c>
      <c r="B35" s="4">
        <v>2.2349999999999999</v>
      </c>
      <c r="C35">
        <v>1</v>
      </c>
      <c r="T35" s="3"/>
    </row>
    <row r="36" spans="1:20" ht="15" thickBot="1" x14ac:dyDescent="0.4">
      <c r="A36" s="2">
        <v>71.209999999999994</v>
      </c>
      <c r="B36" s="4">
        <v>2.1320000000000001</v>
      </c>
      <c r="C36">
        <v>1</v>
      </c>
      <c r="T36" s="3"/>
    </row>
    <row r="37" spans="1:20" ht="15" thickBot="1" x14ac:dyDescent="0.4">
      <c r="A37" s="2">
        <v>71.42</v>
      </c>
      <c r="B37" s="4">
        <v>2.0289999999999999</v>
      </c>
      <c r="C37">
        <v>1</v>
      </c>
    </row>
    <row r="38" spans="1:20" ht="15" thickBot="1" x14ac:dyDescent="0.4">
      <c r="A38" s="2">
        <v>72.150000000000006</v>
      </c>
      <c r="B38" s="4">
        <v>1.9259999999999999</v>
      </c>
      <c r="C38">
        <v>1</v>
      </c>
    </row>
    <row r="39" spans="1:20" ht="15" thickBot="1" x14ac:dyDescent="0.4">
      <c r="A39" s="2">
        <v>72.52</v>
      </c>
      <c r="B39" s="4">
        <v>1.875</v>
      </c>
      <c r="C39">
        <v>1</v>
      </c>
    </row>
    <row r="40" spans="1:20" ht="15" thickBot="1" x14ac:dyDescent="0.4">
      <c r="A40" s="2">
        <v>72.88</v>
      </c>
      <c r="B40" s="4">
        <v>1.823</v>
      </c>
      <c r="C40">
        <v>1</v>
      </c>
    </row>
    <row r="41" spans="1:20" ht="15" thickBot="1" x14ac:dyDescent="0.4">
      <c r="A41" s="2">
        <v>73.25</v>
      </c>
      <c r="B41" s="4">
        <v>1.772</v>
      </c>
      <c r="C41">
        <v>1</v>
      </c>
    </row>
    <row r="42" spans="1:20" ht="15" thickBot="1" x14ac:dyDescent="0.4">
      <c r="A42" s="2">
        <v>73.47</v>
      </c>
      <c r="B42" s="4">
        <v>1.778</v>
      </c>
      <c r="C42">
        <v>1</v>
      </c>
    </row>
    <row r="43" spans="1:20" ht="15" thickBot="1" x14ac:dyDescent="0.4">
      <c r="A43" s="2">
        <v>73.7</v>
      </c>
      <c r="B43" s="4">
        <v>1.7849999999999999</v>
      </c>
      <c r="C43">
        <v>1</v>
      </c>
    </row>
    <row r="44" spans="1:20" ht="15" thickBot="1" x14ac:dyDescent="0.4">
      <c r="A44" s="2">
        <v>73.92</v>
      </c>
      <c r="B44" s="4">
        <v>1.7909999999999999</v>
      </c>
      <c r="C44">
        <v>1</v>
      </c>
    </row>
    <row r="45" spans="1:20" ht="15" thickBot="1" x14ac:dyDescent="0.4">
      <c r="A45" s="2">
        <v>74.47</v>
      </c>
      <c r="B45" s="4">
        <v>1.8260000000000001</v>
      </c>
      <c r="C45">
        <v>1</v>
      </c>
    </row>
    <row r="46" spans="1:20" ht="15" thickBot="1" x14ac:dyDescent="0.4">
      <c r="A46" s="2">
        <v>74.58</v>
      </c>
      <c r="B46" s="4">
        <v>1.8480000000000001</v>
      </c>
      <c r="C46">
        <v>1</v>
      </c>
    </row>
    <row r="47" spans="1:20" ht="15" thickBot="1" x14ac:dyDescent="0.4">
      <c r="A47" s="2">
        <v>74.680000000000007</v>
      </c>
      <c r="B47" s="4">
        <v>1.871</v>
      </c>
      <c r="C47">
        <v>1</v>
      </c>
    </row>
    <row r="48" spans="1:20" ht="15" thickBot="1" x14ac:dyDescent="0.4">
      <c r="A48" s="2">
        <v>74.790000000000006</v>
      </c>
      <c r="B48" s="4">
        <v>1.893</v>
      </c>
      <c r="C48">
        <v>1</v>
      </c>
    </row>
    <row r="49" spans="1:3" ht="15" thickBot="1" x14ac:dyDescent="0.4">
      <c r="A49" s="2">
        <v>74.89</v>
      </c>
      <c r="B49" s="4">
        <v>1.915</v>
      </c>
      <c r="C49">
        <v>1</v>
      </c>
    </row>
    <row r="50" spans="1:3" ht="15" thickBot="1" x14ac:dyDescent="0.4">
      <c r="A50" s="2">
        <v>75.040000000000006</v>
      </c>
      <c r="B50" s="4">
        <v>1.9379999999999999</v>
      </c>
      <c r="C50">
        <v>1</v>
      </c>
    </row>
    <row r="51" spans="1:3" ht="15" thickBot="1" x14ac:dyDescent="0.4">
      <c r="A51" s="2">
        <v>75.5</v>
      </c>
      <c r="B51" s="4">
        <v>2.0070000000000001</v>
      </c>
      <c r="C51">
        <v>1</v>
      </c>
    </row>
    <row r="52" spans="1:3" ht="15" thickBot="1" x14ac:dyDescent="0.4">
      <c r="A52" s="2">
        <v>75.650000000000006</v>
      </c>
      <c r="B52" s="4">
        <v>2.0299999999999998</v>
      </c>
      <c r="C52">
        <v>1</v>
      </c>
    </row>
    <row r="53" spans="1:3" ht="15" thickBot="1" x14ac:dyDescent="0.4">
      <c r="A53" s="2">
        <v>75.81</v>
      </c>
      <c r="B53" s="4">
        <v>2.0230000000000001</v>
      </c>
      <c r="C53">
        <v>1</v>
      </c>
    </row>
    <row r="54" spans="1:3" ht="15" thickBot="1" x14ac:dyDescent="0.4">
      <c r="A54" s="2">
        <v>76.14</v>
      </c>
      <c r="B54" s="4">
        <v>2.0099999999999998</v>
      </c>
      <c r="C54">
        <v>1</v>
      </c>
    </row>
    <row r="55" spans="1:3" ht="15" thickBot="1" x14ac:dyDescent="0.4">
      <c r="A55" s="2">
        <v>76.47</v>
      </c>
      <c r="B55" s="4">
        <v>1.996</v>
      </c>
      <c r="C55">
        <v>1</v>
      </c>
    </row>
    <row r="56" spans="1:3" ht="15" thickBot="1" x14ac:dyDescent="0.4">
      <c r="A56" s="3">
        <v>76.61</v>
      </c>
      <c r="B56" s="4">
        <v>2.0049999999999999</v>
      </c>
      <c r="C56">
        <v>1</v>
      </c>
    </row>
    <row r="57" spans="1:3" ht="15" thickBot="1" x14ac:dyDescent="0.4">
      <c r="A57" s="3">
        <v>77.040000000000006</v>
      </c>
      <c r="B57" s="4">
        <v>2.0329999999999999</v>
      </c>
      <c r="C57">
        <v>1</v>
      </c>
    </row>
    <row r="58" spans="1:3" ht="15" thickBot="1" x14ac:dyDescent="0.4">
      <c r="A58" s="3">
        <v>77.38</v>
      </c>
      <c r="B58" s="4">
        <v>2.0449999999999999</v>
      </c>
      <c r="C58">
        <v>1</v>
      </c>
    </row>
    <row r="59" spans="1:3" ht="15" thickBot="1" x14ac:dyDescent="0.4">
      <c r="A59" s="3">
        <v>77.58</v>
      </c>
      <c r="B59" s="4">
        <v>2.0470000000000002</v>
      </c>
      <c r="C59">
        <v>1</v>
      </c>
    </row>
    <row r="60" spans="1:3" ht="15" thickBot="1" x14ac:dyDescent="0.4">
      <c r="A60" s="3">
        <v>77.790000000000006</v>
      </c>
      <c r="B60" s="4">
        <v>2.0499999999999998</v>
      </c>
      <c r="C60">
        <v>1</v>
      </c>
    </row>
    <row r="61" spans="1:3" ht="15" thickBot="1" x14ac:dyDescent="0.4">
      <c r="A61" s="3">
        <v>77.989999999999995</v>
      </c>
      <c r="B61" s="4">
        <v>2.052</v>
      </c>
      <c r="C61">
        <v>1</v>
      </c>
    </row>
    <row r="62" spans="1:3" ht="15" thickBot="1" x14ac:dyDescent="0.4">
      <c r="A62" s="3">
        <v>78.19</v>
      </c>
      <c r="B62" s="4">
        <v>2.0550000000000002</v>
      </c>
      <c r="C62">
        <v>1</v>
      </c>
    </row>
    <row r="63" spans="1:3" ht="15" thickBot="1" x14ac:dyDescent="0.4">
      <c r="A63" s="3">
        <v>78.34</v>
      </c>
      <c r="B63" s="4">
        <v>2.0190000000000001</v>
      </c>
      <c r="C63">
        <v>1</v>
      </c>
    </row>
    <row r="64" spans="1:3" ht="15" thickBot="1" x14ac:dyDescent="0.4">
      <c r="A64" s="3">
        <v>78.64</v>
      </c>
      <c r="B64" s="4">
        <v>1.9470000000000001</v>
      </c>
      <c r="C64">
        <v>1</v>
      </c>
    </row>
    <row r="65" spans="1:3" ht="15" thickBot="1" x14ac:dyDescent="0.4">
      <c r="A65" s="3">
        <v>78.790000000000006</v>
      </c>
      <c r="B65" s="4">
        <v>1.911</v>
      </c>
      <c r="C65">
        <v>1</v>
      </c>
    </row>
    <row r="66" spans="1:3" ht="15" thickBot="1" x14ac:dyDescent="0.4">
      <c r="A66" s="3">
        <v>78.94</v>
      </c>
      <c r="B66" s="4">
        <v>1.875</v>
      </c>
      <c r="C66">
        <v>1</v>
      </c>
    </row>
    <row r="67" spans="1:3" ht="15" thickBot="1" x14ac:dyDescent="0.4">
      <c r="A67" s="3">
        <v>78.91</v>
      </c>
      <c r="B67" s="4">
        <v>1.855</v>
      </c>
      <c r="C67">
        <v>1</v>
      </c>
    </row>
    <row r="68" spans="1:3" ht="15" thickBot="1" x14ac:dyDescent="0.4">
      <c r="A68" s="3">
        <v>78.89</v>
      </c>
      <c r="B68" s="4">
        <v>1.835</v>
      </c>
      <c r="C68">
        <v>1</v>
      </c>
    </row>
    <row r="69" spans="1:3" ht="15" thickBot="1" x14ac:dyDescent="0.4">
      <c r="A69" s="3">
        <v>78.86</v>
      </c>
      <c r="B69" s="4">
        <v>1.8160000000000001</v>
      </c>
      <c r="C69">
        <v>1</v>
      </c>
    </row>
    <row r="70" spans="1:3" ht="15" thickBot="1" x14ac:dyDescent="0.4">
      <c r="A70" s="3">
        <v>78.84</v>
      </c>
      <c r="B70" s="4">
        <v>1.796</v>
      </c>
      <c r="C70">
        <v>1</v>
      </c>
    </row>
    <row r="71" spans="1:3" ht="15" thickBot="1" x14ac:dyDescent="0.4">
      <c r="A71" s="3">
        <v>78.81</v>
      </c>
      <c r="B71" s="4">
        <v>1.776</v>
      </c>
      <c r="C71">
        <v>1</v>
      </c>
    </row>
    <row r="72" spans="1:3" x14ac:dyDescent="0.35">
      <c r="A72" s="3">
        <v>78.87</v>
      </c>
      <c r="B72" s="5">
        <v>1.778</v>
      </c>
      <c r="C72">
        <v>1</v>
      </c>
    </row>
    <row r="73" spans="1:3" x14ac:dyDescent="0.35">
      <c r="A73" s="3">
        <v>78.930000000000007</v>
      </c>
      <c r="B73" s="1">
        <v>1.7789999999999999</v>
      </c>
      <c r="C73">
        <v>1</v>
      </c>
    </row>
    <row r="74" spans="1:3" x14ac:dyDescent="0.35">
      <c r="A74" s="3">
        <v>78.989999999999995</v>
      </c>
      <c r="B74" s="1">
        <v>1.7809999999999999</v>
      </c>
      <c r="C74">
        <v>1</v>
      </c>
    </row>
    <row r="75" spans="1:3" x14ac:dyDescent="0.35">
      <c r="A75" s="3">
        <v>79.05</v>
      </c>
      <c r="B75" s="1">
        <v>1.782</v>
      </c>
      <c r="C75">
        <v>1</v>
      </c>
    </row>
    <row r="76" spans="1:3" x14ac:dyDescent="0.35">
      <c r="A76" s="3">
        <v>79.11</v>
      </c>
      <c r="B76" s="1">
        <v>1.784</v>
      </c>
      <c r="C76">
        <v>1</v>
      </c>
    </row>
    <row r="77" spans="1:3" x14ac:dyDescent="0.35">
      <c r="C77">
        <f>SUM(C3:C76)</f>
        <v>60.810810810810807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DDF8-CEA4-407B-BAFB-002F786DBEEE}">
  <dimension ref="A1:Y77"/>
  <sheetViews>
    <sheetView topLeftCell="L4" zoomScale="70" zoomScaleNormal="70" workbookViewId="0">
      <selection activeCell="L39" sqref="L39"/>
    </sheetView>
  </sheetViews>
  <sheetFormatPr defaultRowHeight="14.5" x14ac:dyDescent="0.35"/>
  <cols>
    <col min="1" max="1" width="21.1796875" style="2" bestFit="1" customWidth="1"/>
    <col min="2" max="2" width="18.7265625" style="1" bestFit="1" customWidth="1"/>
    <col min="13" max="13" width="11.81640625" bestFit="1" customWidth="1"/>
    <col min="25" max="25" width="11.453125" bestFit="1" customWidth="1"/>
  </cols>
  <sheetData>
    <row r="1" spans="1:25" x14ac:dyDescent="0.35">
      <c r="A1" s="2" t="s">
        <v>10</v>
      </c>
      <c r="B1" s="1" t="s">
        <v>9</v>
      </c>
      <c r="E1" t="s">
        <v>8</v>
      </c>
      <c r="F1" t="s">
        <v>7</v>
      </c>
      <c r="G1" t="s">
        <v>6</v>
      </c>
      <c r="I1" t="s">
        <v>5</v>
      </c>
      <c r="J1" t="s">
        <v>3</v>
      </c>
      <c r="K1" t="s">
        <v>2</v>
      </c>
      <c r="M1" t="s">
        <v>4</v>
      </c>
      <c r="N1" t="s">
        <v>3</v>
      </c>
      <c r="O1" t="s">
        <v>2</v>
      </c>
    </row>
    <row r="2" spans="1:25" x14ac:dyDescent="0.35">
      <c r="A2" s="2">
        <v>69.09</v>
      </c>
      <c r="B2" s="1">
        <v>3.419</v>
      </c>
      <c r="C2">
        <v>0</v>
      </c>
      <c r="E2">
        <f t="shared" ref="E2:E19" si="0">-10.32*LN(A2)+46.713</f>
        <v>3.0035687741927362</v>
      </c>
      <c r="F2">
        <f t="shared" ref="F2:F19" si="1">ABS(B2-E2)</f>
        <v>0.41543122580726388</v>
      </c>
      <c r="G2">
        <f t="shared" ref="G2:G19" si="2">F2^2</f>
        <v>0.17258310337572588</v>
      </c>
      <c r="I2">
        <f t="shared" ref="I2:I19" si="3">132.45376258*EXP(-0.05513812*A2)</f>
        <v>2.9350982031755266</v>
      </c>
      <c r="J2">
        <f t="shared" ref="J2:J19" si="4">ABS(B2-I2)</f>
        <v>0.48390179682447343</v>
      </c>
      <c r="K2">
        <f t="shared" ref="K2:K19" si="5">J2^2</f>
        <v>0.23416094896995396</v>
      </c>
      <c r="M2">
        <f t="shared" ref="M2:M19" si="6">105335188.489269*A2^-4.10579663</f>
        <v>2.9533082421659791</v>
      </c>
      <c r="N2">
        <f t="shared" ref="N2:N19" si="7">ABS(B2-M2)</f>
        <v>0.46569175783402095</v>
      </c>
      <c r="O2">
        <f t="shared" ref="O2:O19" si="8">N2^2</f>
        <v>0.21686881331454042</v>
      </c>
      <c r="Y2" s="7"/>
    </row>
    <row r="3" spans="1:25" x14ac:dyDescent="0.35">
      <c r="A3" s="2">
        <v>70.16</v>
      </c>
      <c r="B3" s="5">
        <v>3.0960000000000001</v>
      </c>
      <c r="C3">
        <v>0</v>
      </c>
      <c r="E3">
        <f t="shared" si="0"/>
        <v>2.8449674479802667</v>
      </c>
      <c r="F3">
        <f t="shared" si="1"/>
        <v>0.2510325520197334</v>
      </c>
      <c r="G3">
        <f t="shared" si="2"/>
        <v>6.3017342173540158E-2</v>
      </c>
      <c r="I3">
        <f t="shared" si="3"/>
        <v>2.7669430636389238</v>
      </c>
      <c r="J3">
        <f t="shared" si="4"/>
        <v>0.32905693636107625</v>
      </c>
      <c r="K3">
        <f t="shared" si="5"/>
        <v>0.10827846736733739</v>
      </c>
      <c r="M3">
        <f t="shared" si="6"/>
        <v>2.7727141516445681</v>
      </c>
      <c r="N3">
        <f t="shared" si="7"/>
        <v>0.32328584835543195</v>
      </c>
      <c r="O3">
        <f t="shared" si="8"/>
        <v>0.10451373974689135</v>
      </c>
      <c r="Y3" s="7"/>
    </row>
    <row r="4" spans="1:25" x14ac:dyDescent="0.35">
      <c r="A4" s="2">
        <v>70.36</v>
      </c>
      <c r="B4" s="5">
        <v>2.5430000000000001</v>
      </c>
      <c r="C4">
        <v>0</v>
      </c>
      <c r="E4">
        <f t="shared" si="0"/>
        <v>2.8155908269482381</v>
      </c>
      <c r="F4">
        <f t="shared" si="1"/>
        <v>0.272590826948238</v>
      </c>
      <c r="G4">
        <f t="shared" si="2"/>
        <v>7.430575893632424E-2</v>
      </c>
      <c r="I4">
        <f t="shared" si="3"/>
        <v>2.7365978810542808</v>
      </c>
      <c r="J4">
        <f t="shared" si="4"/>
        <v>0.19359788105428066</v>
      </c>
      <c r="K4">
        <f t="shared" si="5"/>
        <v>3.7480139548707402E-2</v>
      </c>
      <c r="M4">
        <f t="shared" si="6"/>
        <v>2.7404968434396975</v>
      </c>
      <c r="N4">
        <f t="shared" si="7"/>
        <v>0.19749684343969731</v>
      </c>
      <c r="O4">
        <f t="shared" si="8"/>
        <v>3.900500316864431E-2</v>
      </c>
      <c r="Y4" s="7"/>
    </row>
    <row r="5" spans="1:25" x14ac:dyDescent="0.35">
      <c r="A5" s="2">
        <v>70.78</v>
      </c>
      <c r="B5" s="5">
        <v>2.3370000000000002</v>
      </c>
      <c r="C5">
        <v>0</v>
      </c>
      <c r="E5">
        <f t="shared" si="0"/>
        <v>2.7541707788532861</v>
      </c>
      <c r="F5">
        <f t="shared" si="1"/>
        <v>0.41717077885328591</v>
      </c>
      <c r="G5">
        <f t="shared" si="2"/>
        <v>0.17403145872905718</v>
      </c>
      <c r="I5">
        <f t="shared" si="3"/>
        <v>2.6739518967365896</v>
      </c>
      <c r="J5">
        <f t="shared" si="4"/>
        <v>0.33695189673658943</v>
      </c>
      <c r="K5">
        <f t="shared" si="5"/>
        <v>0.11353658071438523</v>
      </c>
      <c r="M5">
        <f t="shared" si="6"/>
        <v>2.6743419739088052</v>
      </c>
      <c r="N5">
        <f t="shared" si="7"/>
        <v>0.33734197390880505</v>
      </c>
      <c r="O5">
        <f t="shared" si="8"/>
        <v>0.11379960736068891</v>
      </c>
      <c r="Y5" s="7"/>
    </row>
    <row r="6" spans="1:25" x14ac:dyDescent="0.35">
      <c r="A6" s="2">
        <v>72.52</v>
      </c>
      <c r="B6" s="5">
        <v>1.875</v>
      </c>
      <c r="C6">
        <v>0</v>
      </c>
      <c r="E6">
        <f t="shared" si="0"/>
        <v>2.5035401776497679</v>
      </c>
      <c r="F6">
        <f t="shared" si="1"/>
        <v>0.62854017764976788</v>
      </c>
      <c r="G6">
        <f t="shared" si="2"/>
        <v>0.39506275492000176</v>
      </c>
      <c r="I6">
        <f t="shared" si="3"/>
        <v>2.4293340358360553</v>
      </c>
      <c r="J6">
        <f t="shared" si="4"/>
        <v>0.55433403583605534</v>
      </c>
      <c r="K6">
        <f t="shared" si="5"/>
        <v>0.30728622328628907</v>
      </c>
      <c r="M6">
        <f t="shared" si="6"/>
        <v>2.420539254082593</v>
      </c>
      <c r="N6">
        <f t="shared" si="7"/>
        <v>0.54553925408259296</v>
      </c>
      <c r="O6">
        <f t="shared" si="8"/>
        <v>0.29761307774499191</v>
      </c>
      <c r="Y6" s="7"/>
    </row>
    <row r="7" spans="1:25" x14ac:dyDescent="0.35">
      <c r="A7" s="2">
        <v>73.92</v>
      </c>
      <c r="B7" s="5">
        <v>1.7909999999999999</v>
      </c>
      <c r="C7">
        <v>0</v>
      </c>
      <c r="E7">
        <f t="shared" si="0"/>
        <v>2.3062110299190195</v>
      </c>
      <c r="F7">
        <f t="shared" si="1"/>
        <v>0.51521102991901957</v>
      </c>
      <c r="G7">
        <f t="shared" si="2"/>
        <v>0.2654424053502169</v>
      </c>
      <c r="I7">
        <f t="shared" si="3"/>
        <v>2.2488608350330792</v>
      </c>
      <c r="J7">
        <f t="shared" si="4"/>
        <v>0.45786083503307928</v>
      </c>
      <c r="K7">
        <f t="shared" si="5"/>
        <v>0.20963654425718864</v>
      </c>
      <c r="M7">
        <f t="shared" si="6"/>
        <v>2.2377776214068836</v>
      </c>
      <c r="N7">
        <f t="shared" si="7"/>
        <v>0.44677762140688371</v>
      </c>
      <c r="O7">
        <f t="shared" si="8"/>
        <v>0.19961024298999272</v>
      </c>
      <c r="Y7" s="7"/>
    </row>
    <row r="8" spans="1:25" ht="15" thickBot="1" x14ac:dyDescent="0.4">
      <c r="A8" s="2">
        <v>74.47</v>
      </c>
      <c r="B8" s="5">
        <v>1.8260000000000001</v>
      </c>
      <c r="C8">
        <v>0</v>
      </c>
      <c r="E8">
        <f t="shared" si="0"/>
        <v>2.2297095676632424</v>
      </c>
      <c r="F8">
        <f t="shared" si="1"/>
        <v>0.40370956766324229</v>
      </c>
      <c r="G8">
        <f t="shared" si="2"/>
        <v>0.162981415022842</v>
      </c>
      <c r="I8">
        <f t="shared" si="3"/>
        <v>2.1816856816562842</v>
      </c>
      <c r="J8">
        <f t="shared" si="4"/>
        <v>0.35568568165628411</v>
      </c>
      <c r="K8">
        <f t="shared" si="5"/>
        <v>0.12651230413529549</v>
      </c>
      <c r="M8">
        <f t="shared" si="6"/>
        <v>2.1706946841253725</v>
      </c>
      <c r="N8">
        <f t="shared" si="7"/>
        <v>0.34469468412537241</v>
      </c>
      <c r="O8">
        <f t="shared" si="8"/>
        <v>0.11881442526429026</v>
      </c>
      <c r="Y8" s="7"/>
    </row>
    <row r="9" spans="1:25" ht="15" thickBot="1" x14ac:dyDescent="0.4">
      <c r="A9" s="2">
        <v>74.680000000000007</v>
      </c>
      <c r="B9" s="4">
        <v>1.871</v>
      </c>
      <c r="C9">
        <v>0</v>
      </c>
      <c r="E9">
        <f t="shared" si="0"/>
        <v>2.2006488712892462</v>
      </c>
      <c r="F9">
        <f t="shared" si="1"/>
        <v>0.32964887128924625</v>
      </c>
      <c r="G9">
        <f t="shared" si="2"/>
        <v>0.10866837834227404</v>
      </c>
      <c r="I9">
        <f t="shared" si="3"/>
        <v>2.1565696219123964</v>
      </c>
      <c r="J9">
        <f t="shared" si="4"/>
        <v>0.28556962191239643</v>
      </c>
      <c r="K9">
        <f t="shared" si="5"/>
        <v>8.1550008959189055E-2</v>
      </c>
      <c r="M9">
        <f t="shared" si="6"/>
        <v>2.1457421698881149</v>
      </c>
      <c r="N9">
        <f t="shared" si="7"/>
        <v>0.27474216988811495</v>
      </c>
      <c r="O9">
        <f t="shared" si="8"/>
        <v>7.548325991482982E-2</v>
      </c>
      <c r="Y9" s="7"/>
    </row>
    <row r="10" spans="1:25" ht="15" thickBot="1" x14ac:dyDescent="0.4">
      <c r="A10" s="2">
        <v>75.98</v>
      </c>
      <c r="B10" s="4">
        <v>2.016</v>
      </c>
      <c r="C10">
        <v>0</v>
      </c>
      <c r="E10">
        <f t="shared" si="0"/>
        <v>2.0225480751221738</v>
      </c>
      <c r="F10">
        <f t="shared" si="1"/>
        <v>6.5480751221738132E-3</v>
      </c>
      <c r="G10">
        <f t="shared" si="2"/>
        <v>4.2877287805631598E-5</v>
      </c>
      <c r="I10">
        <f t="shared" si="3"/>
        <v>2.0073978176904972</v>
      </c>
      <c r="J10">
        <f t="shared" si="4"/>
        <v>8.602182309502826E-3</v>
      </c>
      <c r="K10">
        <f t="shared" si="5"/>
        <v>7.3997540485923368E-5</v>
      </c>
      <c r="M10">
        <f t="shared" si="6"/>
        <v>1.9989626199753141</v>
      </c>
      <c r="N10">
        <f t="shared" si="7"/>
        <v>1.7037380024685911E-2</v>
      </c>
      <c r="O10">
        <f t="shared" si="8"/>
        <v>2.9027231810556647E-4</v>
      </c>
      <c r="Y10" s="7"/>
    </row>
    <row r="11" spans="1:25" ht="15" thickBot="1" x14ac:dyDescent="0.4">
      <c r="A11" s="3">
        <v>76.61</v>
      </c>
      <c r="B11" s="4">
        <v>2.0049999999999999</v>
      </c>
      <c r="C11">
        <v>0</v>
      </c>
      <c r="E11">
        <f t="shared" si="0"/>
        <v>1.9373309974235084</v>
      </c>
      <c r="F11">
        <f t="shared" si="1"/>
        <v>6.7669002576491444E-2</v>
      </c>
      <c r="G11">
        <f t="shared" si="2"/>
        <v>4.5790939096972058E-3</v>
      </c>
      <c r="I11">
        <f t="shared" si="3"/>
        <v>1.9388640292981796</v>
      </c>
      <c r="J11">
        <f t="shared" si="4"/>
        <v>6.6135970701820312E-2</v>
      </c>
      <c r="K11">
        <f t="shared" si="5"/>
        <v>4.3739666206720346E-3</v>
      </c>
      <c r="M11">
        <f t="shared" si="6"/>
        <v>1.9323267921000349</v>
      </c>
      <c r="N11">
        <f t="shared" si="7"/>
        <v>7.2673207899965009E-2</v>
      </c>
      <c r="O11">
        <f t="shared" si="8"/>
        <v>5.2813951464715366E-3</v>
      </c>
      <c r="Y11" s="7"/>
    </row>
    <row r="12" spans="1:25" ht="15" thickBot="1" x14ac:dyDescent="0.4">
      <c r="A12" s="3">
        <v>76.75</v>
      </c>
      <c r="B12" s="4">
        <v>2.0139999999999998</v>
      </c>
      <c r="C12">
        <v>0</v>
      </c>
      <c r="E12">
        <f t="shared" si="0"/>
        <v>1.9184890516573887</v>
      </c>
      <c r="F12">
        <f t="shared" si="1"/>
        <v>9.5510948342611091E-2</v>
      </c>
      <c r="G12">
        <f t="shared" si="2"/>
        <v>9.1223412533049247E-3</v>
      </c>
      <c r="I12">
        <f t="shared" si="3"/>
        <v>1.9239549031635119</v>
      </c>
      <c r="J12">
        <f t="shared" si="4"/>
        <v>9.004509683648787E-2</v>
      </c>
      <c r="K12">
        <f t="shared" si="5"/>
        <v>8.1081194642924782E-3</v>
      </c>
      <c r="M12">
        <f t="shared" si="6"/>
        <v>1.9178957633955465</v>
      </c>
      <c r="N12">
        <f t="shared" si="7"/>
        <v>9.610423660445333E-2</v>
      </c>
      <c r="O12">
        <f t="shared" si="8"/>
        <v>9.2360242933247471E-3</v>
      </c>
      <c r="Y12" s="7"/>
    </row>
    <row r="13" spans="1:25" ht="15" thickBot="1" x14ac:dyDescent="0.4">
      <c r="A13" s="3">
        <v>77.040000000000006</v>
      </c>
      <c r="B13" s="4">
        <v>2.0329999999999999</v>
      </c>
      <c r="C13">
        <v>0</v>
      </c>
      <c r="E13">
        <f t="shared" si="0"/>
        <v>1.8795683995045422</v>
      </c>
      <c r="F13">
        <f t="shared" si="1"/>
        <v>0.15343160049545768</v>
      </c>
      <c r="G13">
        <f t="shared" si="2"/>
        <v>2.3541256030597729E-2</v>
      </c>
      <c r="I13">
        <f t="shared" si="3"/>
        <v>1.8934354132577671</v>
      </c>
      <c r="J13">
        <f t="shared" si="4"/>
        <v>0.13956458674223282</v>
      </c>
      <c r="K13">
        <f t="shared" si="5"/>
        <v>1.9478273872530229E-2</v>
      </c>
      <c r="M13">
        <f t="shared" si="6"/>
        <v>1.8884268065805068</v>
      </c>
      <c r="N13">
        <f t="shared" si="7"/>
        <v>0.14457319341949315</v>
      </c>
      <c r="O13">
        <f t="shared" si="8"/>
        <v>2.0901408255510179E-2</v>
      </c>
      <c r="Y13" s="7"/>
    </row>
    <row r="14" spans="1:25" ht="15" thickBot="1" x14ac:dyDescent="0.4">
      <c r="A14" s="3">
        <v>77.38</v>
      </c>
      <c r="B14" s="4">
        <v>2.0449999999999999</v>
      </c>
      <c r="C14">
        <v>0</v>
      </c>
      <c r="E14">
        <f t="shared" si="0"/>
        <v>1.83412343550917</v>
      </c>
      <c r="F14">
        <f t="shared" si="1"/>
        <v>0.21087656449082992</v>
      </c>
      <c r="G14">
        <f t="shared" si="2"/>
        <v>4.446892545145515E-2</v>
      </c>
      <c r="I14">
        <f t="shared" si="3"/>
        <v>1.8582699068724065</v>
      </c>
      <c r="J14">
        <f t="shared" si="4"/>
        <v>0.18673009312759348</v>
      </c>
      <c r="K14">
        <f t="shared" si="5"/>
        <v>3.4868127679439732E-2</v>
      </c>
      <c r="M14">
        <f t="shared" si="6"/>
        <v>1.8545904569130798</v>
      </c>
      <c r="N14">
        <f t="shared" si="7"/>
        <v>0.19040954308692015</v>
      </c>
      <c r="O14">
        <f t="shared" si="8"/>
        <v>3.6255794098569702E-2</v>
      </c>
      <c r="Y14" s="7"/>
    </row>
    <row r="15" spans="1:25" ht="15" thickBot="1" x14ac:dyDescent="0.4">
      <c r="A15" s="3">
        <v>77.989999999999995</v>
      </c>
      <c r="B15" s="4">
        <v>2.052</v>
      </c>
      <c r="C15">
        <v>0</v>
      </c>
      <c r="E15">
        <f t="shared" si="0"/>
        <v>1.7530880703063687</v>
      </c>
      <c r="F15">
        <f t="shared" si="1"/>
        <v>0.29891192969363134</v>
      </c>
      <c r="G15">
        <f t="shared" si="2"/>
        <v>8.9348341713170409E-2</v>
      </c>
      <c r="I15">
        <f t="shared" si="3"/>
        <v>1.796807796444539</v>
      </c>
      <c r="J15">
        <f t="shared" si="4"/>
        <v>0.25519220355546102</v>
      </c>
      <c r="K15">
        <f t="shared" si="5"/>
        <v>6.5123060755491846E-2</v>
      </c>
      <c r="M15">
        <f t="shared" si="6"/>
        <v>1.7957523926777792</v>
      </c>
      <c r="N15">
        <f t="shared" si="7"/>
        <v>0.25624760732222085</v>
      </c>
      <c r="O15">
        <f t="shared" si="8"/>
        <v>6.5662836258363097E-2</v>
      </c>
      <c r="Y15" s="7"/>
    </row>
    <row r="16" spans="1:25" ht="15" thickBot="1" x14ac:dyDescent="0.4">
      <c r="A16" s="3">
        <v>78.19</v>
      </c>
      <c r="B16" s="4">
        <v>2.0550000000000002</v>
      </c>
      <c r="C16">
        <v>0</v>
      </c>
      <c r="E16">
        <f t="shared" si="0"/>
        <v>1.7266570147521207</v>
      </c>
      <c r="F16">
        <f t="shared" si="1"/>
        <v>0.32834298524787942</v>
      </c>
      <c r="G16">
        <f t="shared" si="2"/>
        <v>0.10780911596148916</v>
      </c>
      <c r="I16">
        <f t="shared" si="3"/>
        <v>1.7771021287099424</v>
      </c>
      <c r="J16">
        <f t="shared" si="4"/>
        <v>0.27789787129005772</v>
      </c>
      <c r="K16">
        <f t="shared" si="5"/>
        <v>7.722722686754549E-2</v>
      </c>
      <c r="M16">
        <f t="shared" si="6"/>
        <v>1.7769679949604635</v>
      </c>
      <c r="N16">
        <f t="shared" si="7"/>
        <v>0.27803200503953662</v>
      </c>
      <c r="O16">
        <f t="shared" si="8"/>
        <v>7.730179582630492E-2</v>
      </c>
    </row>
    <row r="17" spans="1:20" ht="15" thickBot="1" x14ac:dyDescent="0.4">
      <c r="A17" s="3">
        <v>78.94</v>
      </c>
      <c r="B17" s="4">
        <v>1.875</v>
      </c>
      <c r="C17">
        <v>0</v>
      </c>
      <c r="E17">
        <f t="shared" si="0"/>
        <v>1.6281391151778806</v>
      </c>
      <c r="F17">
        <f t="shared" si="1"/>
        <v>0.24686088482211943</v>
      </c>
      <c r="G17">
        <f t="shared" si="2"/>
        <v>6.0940296455159713E-2</v>
      </c>
      <c r="I17">
        <f t="shared" si="3"/>
        <v>1.7051113730935357</v>
      </c>
      <c r="J17">
        <f t="shared" si="4"/>
        <v>0.16988862690646434</v>
      </c>
      <c r="K17">
        <f t="shared" si="5"/>
        <v>2.8862145552163838E-2</v>
      </c>
      <c r="M17">
        <f t="shared" si="6"/>
        <v>1.7086666656470486</v>
      </c>
      <c r="N17">
        <f t="shared" si="7"/>
        <v>0.16633333435295139</v>
      </c>
      <c r="O17">
        <f t="shared" si="8"/>
        <v>2.7666778116970717E-2</v>
      </c>
    </row>
    <row r="18" spans="1:20" ht="15" thickBot="1" x14ac:dyDescent="0.4">
      <c r="A18" s="3">
        <v>78.86</v>
      </c>
      <c r="B18" s="4">
        <v>1.8160000000000001</v>
      </c>
      <c r="C18">
        <v>0</v>
      </c>
      <c r="E18">
        <f t="shared" si="0"/>
        <v>1.6386029944013529</v>
      </c>
      <c r="F18">
        <f t="shared" si="1"/>
        <v>0.17739700559864713</v>
      </c>
      <c r="G18">
        <f t="shared" si="2"/>
        <v>3.1469697595366442E-2</v>
      </c>
      <c r="I18">
        <f t="shared" si="3"/>
        <v>1.7126493168332666</v>
      </c>
      <c r="J18">
        <f t="shared" si="4"/>
        <v>0.10335068316673346</v>
      </c>
      <c r="K18">
        <f t="shared" si="5"/>
        <v>1.0681363711030522E-2</v>
      </c>
      <c r="M18">
        <f t="shared" si="6"/>
        <v>1.7157947381386112</v>
      </c>
      <c r="N18">
        <f t="shared" si="7"/>
        <v>0.10020526186138889</v>
      </c>
      <c r="O18">
        <f t="shared" si="8"/>
        <v>1.0041094504709519E-2</v>
      </c>
    </row>
    <row r="19" spans="1:20" ht="15" thickBot="1" x14ac:dyDescent="0.4">
      <c r="A19" s="3">
        <v>78.84</v>
      </c>
      <c r="B19" s="4">
        <v>1.796</v>
      </c>
      <c r="C19">
        <v>0</v>
      </c>
      <c r="E19">
        <f t="shared" si="0"/>
        <v>1.6412206228237665</v>
      </c>
      <c r="F19">
        <f t="shared" si="1"/>
        <v>0.15477937717623358</v>
      </c>
      <c r="G19">
        <f t="shared" si="2"/>
        <v>2.3956655599062775E-2</v>
      </c>
      <c r="I19">
        <f t="shared" si="3"/>
        <v>1.7145390038506487</v>
      </c>
      <c r="J19">
        <f t="shared" si="4"/>
        <v>8.1460996149351317E-2</v>
      </c>
      <c r="K19">
        <f t="shared" si="5"/>
        <v>6.63589389364463E-3</v>
      </c>
      <c r="M19">
        <f t="shared" si="6"/>
        <v>1.7175825311155528</v>
      </c>
      <c r="N19">
        <f t="shared" si="7"/>
        <v>7.8417468884447228E-2</v>
      </c>
      <c r="O19">
        <f t="shared" si="8"/>
        <v>6.1492994262432495E-3</v>
      </c>
    </row>
    <row r="20" spans="1:20" ht="15" thickBot="1" x14ac:dyDescent="0.4">
      <c r="B20" s="6"/>
      <c r="C20">
        <f>56/74</f>
        <v>0.7567567567567568</v>
      </c>
      <c r="F20" t="s">
        <v>1</v>
      </c>
      <c r="G20" t="s">
        <v>0</v>
      </c>
      <c r="J20" t="s">
        <v>1</v>
      </c>
      <c r="K20" t="s">
        <v>0</v>
      </c>
      <c r="N20" t="s">
        <v>1</v>
      </c>
      <c r="O20" t="s">
        <v>0</v>
      </c>
    </row>
    <row r="21" spans="1:20" ht="15" thickBot="1" x14ac:dyDescent="0.4">
      <c r="A21" s="2">
        <v>68.14</v>
      </c>
      <c r="B21" s="6">
        <v>3.1480000000000001</v>
      </c>
      <c r="C21">
        <v>1</v>
      </c>
      <c r="F21">
        <f>MAX(F2:F19)</f>
        <v>0.62854017764976788</v>
      </c>
      <c r="G21">
        <f>SUM(G2:G19)</f>
        <v>1.8113712181070909</v>
      </c>
      <c r="J21">
        <f>MAX(J2:J19)</f>
        <v>0.55433403583605534</v>
      </c>
      <c r="K21">
        <f>SUM(K2:K19)</f>
        <v>1.4738733931956431</v>
      </c>
      <c r="N21">
        <f>MAX(N2:N19)</f>
        <v>0.54553925408259296</v>
      </c>
      <c r="O21">
        <f>SUM(O2:O19)</f>
        <v>1.4244948677494431</v>
      </c>
    </row>
    <row r="22" spans="1:20" ht="15" thickBot="1" x14ac:dyDescent="0.4">
      <c r="A22" s="2">
        <v>68.33</v>
      </c>
      <c r="B22" s="6">
        <v>3.2029999999999998</v>
      </c>
      <c r="C22">
        <v>1</v>
      </c>
      <c r="T22" s="2"/>
    </row>
    <row r="23" spans="1:20" ht="15" thickBot="1" x14ac:dyDescent="0.4">
      <c r="A23" s="2">
        <v>68.52</v>
      </c>
      <c r="B23" s="6">
        <v>3.2570000000000001</v>
      </c>
      <c r="C23">
        <v>1</v>
      </c>
      <c r="T23" s="2"/>
    </row>
    <row r="24" spans="1:20" ht="15" thickBot="1" x14ac:dyDescent="0.4">
      <c r="A24" s="2">
        <v>68.709999999999994</v>
      </c>
      <c r="B24" s="6">
        <v>3.3109999999999999</v>
      </c>
      <c r="C24">
        <v>1</v>
      </c>
      <c r="T24" s="2"/>
    </row>
    <row r="25" spans="1:20" ht="15" thickBot="1" x14ac:dyDescent="0.4">
      <c r="A25" s="2">
        <v>68.900000000000006</v>
      </c>
      <c r="B25" s="6">
        <v>3.3650000000000002</v>
      </c>
      <c r="C25">
        <v>1</v>
      </c>
      <c r="T25" s="2"/>
    </row>
    <row r="26" spans="1:20" ht="15" thickBot="1" x14ac:dyDescent="0.4">
      <c r="A26" s="2">
        <v>69.28</v>
      </c>
      <c r="B26" s="6">
        <v>3.4740000000000002</v>
      </c>
      <c r="C26">
        <v>1</v>
      </c>
      <c r="T26" s="2"/>
    </row>
    <row r="27" spans="1:20" ht="15" thickBot="1" x14ac:dyDescent="0.4">
      <c r="A27" s="2">
        <v>69.47</v>
      </c>
      <c r="B27" s="4">
        <v>3.528</v>
      </c>
      <c r="C27">
        <v>1</v>
      </c>
      <c r="T27" s="2"/>
    </row>
    <row r="28" spans="1:20" ht="15" thickBot="1" x14ac:dyDescent="0.4">
      <c r="A28" s="2">
        <v>69.66</v>
      </c>
      <c r="B28" s="4">
        <v>3.5819999999999999</v>
      </c>
      <c r="C28">
        <v>1</v>
      </c>
      <c r="T28" s="2"/>
    </row>
    <row r="29" spans="1:20" ht="15" thickBot="1" x14ac:dyDescent="0.4">
      <c r="A29" s="2">
        <v>69.75</v>
      </c>
      <c r="B29" s="4">
        <v>3.512</v>
      </c>
      <c r="C29">
        <v>1</v>
      </c>
      <c r="T29" s="2"/>
    </row>
    <row r="30" spans="1:20" ht="15" thickBot="1" x14ac:dyDescent="0.4">
      <c r="A30" s="2">
        <v>69.84</v>
      </c>
      <c r="B30" s="4">
        <v>3.4430000000000001</v>
      </c>
      <c r="C30">
        <v>1</v>
      </c>
      <c r="T30" s="2"/>
    </row>
    <row r="31" spans="1:20" ht="15" thickBot="1" x14ac:dyDescent="0.4">
      <c r="A31" s="2">
        <v>69.930000000000007</v>
      </c>
      <c r="B31" s="4">
        <v>3.3730000000000002</v>
      </c>
      <c r="C31">
        <v>1</v>
      </c>
      <c r="T31" s="2"/>
    </row>
    <row r="32" spans="1:20" ht="15" thickBot="1" x14ac:dyDescent="0.4">
      <c r="A32" s="2">
        <v>70.02</v>
      </c>
      <c r="B32" s="4">
        <v>3.3039999999999998</v>
      </c>
      <c r="C32">
        <v>1</v>
      </c>
      <c r="T32" s="2"/>
    </row>
    <row r="33" spans="1:20" ht="15" thickBot="1" x14ac:dyDescent="0.4">
      <c r="A33" s="2">
        <v>70.11</v>
      </c>
      <c r="B33" s="4">
        <v>3.234</v>
      </c>
      <c r="C33">
        <v>1</v>
      </c>
      <c r="T33" s="3"/>
    </row>
    <row r="34" spans="1:20" ht="15" thickBot="1" x14ac:dyDescent="0.4">
      <c r="A34" s="2">
        <v>70.209999999999994</v>
      </c>
      <c r="B34" s="4">
        <v>2.9580000000000002</v>
      </c>
      <c r="C34">
        <v>1</v>
      </c>
      <c r="T34" s="3"/>
    </row>
    <row r="35" spans="1:20" ht="15" thickBot="1" x14ac:dyDescent="0.4">
      <c r="A35" s="2">
        <v>70.260000000000005</v>
      </c>
      <c r="B35" s="4">
        <v>2.819</v>
      </c>
      <c r="C35">
        <v>1</v>
      </c>
      <c r="T35" s="3"/>
    </row>
    <row r="36" spans="1:20" ht="15" thickBot="1" x14ac:dyDescent="0.4">
      <c r="A36" s="2">
        <v>70.31</v>
      </c>
      <c r="B36" s="4">
        <v>2.681</v>
      </c>
      <c r="C36">
        <v>1</v>
      </c>
      <c r="T36" s="3"/>
    </row>
    <row r="37" spans="1:20" ht="15" thickBot="1" x14ac:dyDescent="0.4">
      <c r="A37" s="2">
        <v>70.569999999999993</v>
      </c>
      <c r="B37" s="4">
        <v>2.44</v>
      </c>
      <c r="C37">
        <v>1</v>
      </c>
    </row>
    <row r="38" spans="1:20" ht="15" thickBot="1" x14ac:dyDescent="0.4">
      <c r="A38" s="2">
        <v>71</v>
      </c>
      <c r="B38" s="4">
        <v>2.2349999999999999</v>
      </c>
      <c r="C38">
        <v>1</v>
      </c>
    </row>
    <row r="39" spans="1:20" ht="15" thickBot="1" x14ac:dyDescent="0.4">
      <c r="A39" s="2">
        <v>71.209999999999994</v>
      </c>
      <c r="B39" s="4">
        <v>2.1320000000000001</v>
      </c>
      <c r="C39">
        <v>1</v>
      </c>
    </row>
    <row r="40" spans="1:20" ht="15" thickBot="1" x14ac:dyDescent="0.4">
      <c r="A40" s="2">
        <v>71.42</v>
      </c>
      <c r="B40" s="4">
        <v>2.0289999999999999</v>
      </c>
      <c r="C40">
        <v>1</v>
      </c>
    </row>
    <row r="41" spans="1:20" ht="15" thickBot="1" x14ac:dyDescent="0.4">
      <c r="A41" s="2">
        <v>71.790000000000006</v>
      </c>
      <c r="B41" s="4">
        <v>1.978</v>
      </c>
      <c r="C41">
        <v>1</v>
      </c>
    </row>
    <row r="42" spans="1:20" ht="15" thickBot="1" x14ac:dyDescent="0.4">
      <c r="A42" s="2">
        <v>72.150000000000006</v>
      </c>
      <c r="B42" s="4">
        <v>1.9259999999999999</v>
      </c>
      <c r="C42">
        <v>1</v>
      </c>
    </row>
    <row r="43" spans="1:20" ht="15" thickBot="1" x14ac:dyDescent="0.4">
      <c r="A43" s="2">
        <v>72.88</v>
      </c>
      <c r="B43" s="4">
        <v>1.823</v>
      </c>
      <c r="C43">
        <v>1</v>
      </c>
    </row>
    <row r="44" spans="1:20" ht="15" thickBot="1" x14ac:dyDescent="0.4">
      <c r="A44" s="2">
        <v>73.25</v>
      </c>
      <c r="B44" s="4">
        <v>1.772</v>
      </c>
      <c r="C44">
        <v>1</v>
      </c>
    </row>
    <row r="45" spans="1:20" ht="15" thickBot="1" x14ac:dyDescent="0.4">
      <c r="A45" s="2">
        <v>73.47</v>
      </c>
      <c r="B45" s="4">
        <v>1.778</v>
      </c>
      <c r="C45">
        <v>1</v>
      </c>
    </row>
    <row r="46" spans="1:20" ht="15" thickBot="1" x14ac:dyDescent="0.4">
      <c r="A46" s="2">
        <v>73.7</v>
      </c>
      <c r="B46" s="4">
        <v>1.7849999999999999</v>
      </c>
      <c r="C46">
        <v>1</v>
      </c>
    </row>
    <row r="47" spans="1:20" ht="15" thickBot="1" x14ac:dyDescent="0.4">
      <c r="A47" s="2">
        <v>74.150000000000006</v>
      </c>
      <c r="B47" s="4">
        <v>1.798</v>
      </c>
      <c r="C47">
        <v>1</v>
      </c>
    </row>
    <row r="48" spans="1:20" ht="15" thickBot="1" x14ac:dyDescent="0.4">
      <c r="A48" s="2">
        <v>74.37</v>
      </c>
      <c r="B48" s="4">
        <v>1.804</v>
      </c>
      <c r="C48">
        <v>1</v>
      </c>
    </row>
    <row r="49" spans="1:3" ht="15" thickBot="1" x14ac:dyDescent="0.4">
      <c r="A49" s="2">
        <v>74.58</v>
      </c>
      <c r="B49" s="4">
        <v>1.8480000000000001</v>
      </c>
      <c r="C49">
        <v>1</v>
      </c>
    </row>
    <row r="50" spans="1:3" ht="15" thickBot="1" x14ac:dyDescent="0.4">
      <c r="A50" s="2">
        <v>74.790000000000006</v>
      </c>
      <c r="B50" s="4">
        <v>1.893</v>
      </c>
      <c r="C50">
        <v>1</v>
      </c>
    </row>
    <row r="51" spans="1:3" ht="15" thickBot="1" x14ac:dyDescent="0.4">
      <c r="A51" s="2">
        <v>74.89</v>
      </c>
      <c r="B51" s="4">
        <v>1.915</v>
      </c>
      <c r="C51">
        <v>1</v>
      </c>
    </row>
    <row r="52" spans="1:3" ht="15" thickBot="1" x14ac:dyDescent="0.4">
      <c r="A52" s="2">
        <v>75.040000000000006</v>
      </c>
      <c r="B52" s="4">
        <v>1.9379999999999999</v>
      </c>
      <c r="C52">
        <v>1</v>
      </c>
    </row>
    <row r="53" spans="1:3" ht="15" thickBot="1" x14ac:dyDescent="0.4">
      <c r="A53" s="2">
        <v>75.19</v>
      </c>
      <c r="B53" s="4">
        <v>1.9610000000000001</v>
      </c>
      <c r="C53">
        <v>1</v>
      </c>
    </row>
    <row r="54" spans="1:3" ht="15" thickBot="1" x14ac:dyDescent="0.4">
      <c r="A54" s="2">
        <v>75.349999999999994</v>
      </c>
      <c r="B54" s="4">
        <v>1.984</v>
      </c>
      <c r="C54">
        <v>1</v>
      </c>
    </row>
    <row r="55" spans="1:3" ht="15" thickBot="1" x14ac:dyDescent="0.4">
      <c r="A55" s="2">
        <v>75.5</v>
      </c>
      <c r="B55" s="4">
        <v>2.0070000000000001</v>
      </c>
      <c r="C55">
        <v>1</v>
      </c>
    </row>
    <row r="56" spans="1:3" ht="15" thickBot="1" x14ac:dyDescent="0.4">
      <c r="A56" s="2">
        <v>75.650000000000006</v>
      </c>
      <c r="B56" s="4">
        <v>2.0299999999999998</v>
      </c>
      <c r="C56">
        <v>1</v>
      </c>
    </row>
    <row r="57" spans="1:3" ht="15" thickBot="1" x14ac:dyDescent="0.4">
      <c r="A57" s="2">
        <v>75.81</v>
      </c>
      <c r="B57" s="4">
        <v>2.0230000000000001</v>
      </c>
      <c r="C57">
        <v>1</v>
      </c>
    </row>
    <row r="58" spans="1:3" ht="15" thickBot="1" x14ac:dyDescent="0.4">
      <c r="A58" s="2">
        <v>76.14</v>
      </c>
      <c r="B58" s="4">
        <v>2.0099999999999998</v>
      </c>
      <c r="C58">
        <v>1</v>
      </c>
    </row>
    <row r="59" spans="1:3" ht="15" thickBot="1" x14ac:dyDescent="0.4">
      <c r="A59" s="2">
        <v>76.31</v>
      </c>
      <c r="B59" s="4">
        <v>2.0030000000000001</v>
      </c>
      <c r="C59">
        <v>1</v>
      </c>
    </row>
    <row r="60" spans="1:3" ht="15" thickBot="1" x14ac:dyDescent="0.4">
      <c r="A60" s="2">
        <v>76.47</v>
      </c>
      <c r="B60" s="4">
        <v>1.996</v>
      </c>
      <c r="C60">
        <v>1</v>
      </c>
    </row>
    <row r="61" spans="1:3" ht="15" thickBot="1" x14ac:dyDescent="0.4">
      <c r="A61" s="3">
        <v>76.900000000000006</v>
      </c>
      <c r="B61" s="4">
        <v>2.024</v>
      </c>
      <c r="C61">
        <v>1</v>
      </c>
    </row>
    <row r="62" spans="1:3" ht="15" thickBot="1" x14ac:dyDescent="0.4">
      <c r="A62" s="3">
        <v>77.180000000000007</v>
      </c>
      <c r="B62" s="4">
        <v>2.0419999999999998</v>
      </c>
      <c r="C62">
        <v>1</v>
      </c>
    </row>
    <row r="63" spans="1:3" ht="15" thickBot="1" x14ac:dyDescent="0.4">
      <c r="A63" s="3">
        <v>77.58</v>
      </c>
      <c r="B63" s="4">
        <v>2.0470000000000002</v>
      </c>
      <c r="C63">
        <v>1</v>
      </c>
    </row>
    <row r="64" spans="1:3" ht="15" thickBot="1" x14ac:dyDescent="0.4">
      <c r="A64" s="3">
        <v>77.790000000000006</v>
      </c>
      <c r="B64" s="4">
        <v>2.0499999999999998</v>
      </c>
      <c r="C64">
        <v>1</v>
      </c>
    </row>
    <row r="65" spans="1:3" ht="15" thickBot="1" x14ac:dyDescent="0.4">
      <c r="A65" s="3">
        <v>78.34</v>
      </c>
      <c r="B65" s="4">
        <v>2.0190000000000001</v>
      </c>
      <c r="C65">
        <v>1</v>
      </c>
    </row>
    <row r="66" spans="1:3" ht="15" thickBot="1" x14ac:dyDescent="0.4">
      <c r="A66" s="3">
        <v>78.489999999999995</v>
      </c>
      <c r="B66" s="4">
        <v>1.9830000000000001</v>
      </c>
      <c r="C66">
        <v>1</v>
      </c>
    </row>
    <row r="67" spans="1:3" ht="15" thickBot="1" x14ac:dyDescent="0.4">
      <c r="A67" s="3">
        <v>78.64</v>
      </c>
      <c r="B67" s="4">
        <v>1.9470000000000001</v>
      </c>
      <c r="C67">
        <v>1</v>
      </c>
    </row>
    <row r="68" spans="1:3" ht="15" thickBot="1" x14ac:dyDescent="0.4">
      <c r="A68" s="3">
        <v>78.790000000000006</v>
      </c>
      <c r="B68" s="4">
        <v>1.911</v>
      </c>
      <c r="C68">
        <v>1</v>
      </c>
    </row>
    <row r="69" spans="1:3" ht="15" thickBot="1" x14ac:dyDescent="0.4">
      <c r="A69" s="3">
        <v>78.91</v>
      </c>
      <c r="B69" s="4">
        <v>1.855</v>
      </c>
      <c r="C69">
        <v>1</v>
      </c>
    </row>
    <row r="70" spans="1:3" ht="15" thickBot="1" x14ac:dyDescent="0.4">
      <c r="A70" s="3">
        <v>78.89</v>
      </c>
      <c r="B70" s="4">
        <v>1.835</v>
      </c>
      <c r="C70">
        <v>1</v>
      </c>
    </row>
    <row r="71" spans="1:3" ht="15" thickBot="1" x14ac:dyDescent="0.4">
      <c r="A71" s="3">
        <v>78.81</v>
      </c>
      <c r="B71" s="4">
        <v>1.776</v>
      </c>
      <c r="C71">
        <v>1</v>
      </c>
    </row>
    <row r="72" spans="1:3" x14ac:dyDescent="0.35">
      <c r="A72" s="3">
        <v>78.87</v>
      </c>
      <c r="B72" s="5">
        <v>1.778</v>
      </c>
      <c r="C72">
        <v>1</v>
      </c>
    </row>
    <row r="73" spans="1:3" x14ac:dyDescent="0.35">
      <c r="A73" s="3">
        <v>78.930000000000007</v>
      </c>
      <c r="B73" s="1">
        <v>1.7789999999999999</v>
      </c>
      <c r="C73">
        <v>1</v>
      </c>
    </row>
    <row r="74" spans="1:3" x14ac:dyDescent="0.35">
      <c r="A74" s="3">
        <v>78.989999999999995</v>
      </c>
      <c r="B74" s="1">
        <v>1.7809999999999999</v>
      </c>
      <c r="C74">
        <v>1</v>
      </c>
    </row>
    <row r="75" spans="1:3" x14ac:dyDescent="0.35">
      <c r="A75" s="3">
        <v>79.05</v>
      </c>
      <c r="B75" s="1">
        <v>1.782</v>
      </c>
      <c r="C75">
        <v>1</v>
      </c>
    </row>
    <row r="76" spans="1:3" x14ac:dyDescent="0.35">
      <c r="A76" s="3">
        <v>79.11</v>
      </c>
      <c r="B76" s="1">
        <v>1.784</v>
      </c>
      <c r="C76">
        <v>1</v>
      </c>
    </row>
    <row r="77" spans="1:3" x14ac:dyDescent="0.35">
      <c r="C77">
        <f>SUM(C3:C76)</f>
        <v>56.756756756756758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Log, Exp, and Power</vt:lpstr>
      <vt:lpstr>Random 25% (Log, Exp, Pow)</vt:lpstr>
      <vt:lpstr>Random 25% (Log, Exp, Pow)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Rueschhoff</dc:creator>
  <cp:lastModifiedBy>Olivia Rueschhoff</cp:lastModifiedBy>
  <dcterms:created xsi:type="dcterms:W3CDTF">2023-10-18T20:38:50Z</dcterms:created>
  <dcterms:modified xsi:type="dcterms:W3CDTF">2024-04-08T14:02:47Z</dcterms:modified>
</cp:coreProperties>
</file>