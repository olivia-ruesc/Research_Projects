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7b45e22aea8b7/Documents/Fall 23/Math 383/Honors Project/"/>
    </mc:Choice>
  </mc:AlternateContent>
  <xr:revisionPtr revIDLastSave="1822" documentId="8_{45E29B9E-2F3C-4281-8F38-DF93D3AD55AE}" xr6:coauthVersionLast="47" xr6:coauthVersionMax="47" xr10:uidLastSave="{D5B0BCE0-DCC9-445B-B84F-06F1800DCCF1}"/>
  <bookViews>
    <workbookView xWindow="-110" yWindow="-110" windowWidth="19420" windowHeight="11500" firstSheet="1" activeTab="2" xr2:uid="{3D1C85ED-6913-4DD1-86ED-52AB5D0E192C}"/>
  </bookViews>
  <sheets>
    <sheet name="Original Data" sheetId="6" r:id="rId1"/>
    <sheet name="1st - 6th order" sheetId="1" r:id="rId2"/>
    <sheet name="Random 25% (1-6th order)" sheetId="7" r:id="rId3"/>
    <sheet name="Random 25% (1-6th order) (2)" sheetId="14" r:id="rId4"/>
    <sheet name="Tables of Max and Sum" sheetId="18" r:id="rId5"/>
    <sheet name="Residuals for Linear" sheetId="3" state="hidden" r:id="rId6"/>
    <sheet name="Residual for 6th order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7" l="1"/>
  <c r="F2" i="7"/>
  <c r="E2" i="7"/>
  <c r="Z3" i="14" l="1"/>
  <c r="AA3" i="14" s="1"/>
  <c r="Z4" i="14"/>
  <c r="AA4" i="14" s="1"/>
  <c r="Z5" i="14"/>
  <c r="AA5" i="14" s="1"/>
  <c r="Z6" i="14"/>
  <c r="AA6" i="14" s="1"/>
  <c r="Z7" i="14"/>
  <c r="AA7" i="14" s="1"/>
  <c r="Z15" i="14"/>
  <c r="AA15" i="14" s="1"/>
  <c r="Z16" i="14"/>
  <c r="AA16" i="14" s="1"/>
  <c r="Z17" i="14"/>
  <c r="AA17" i="14" s="1"/>
  <c r="Z18" i="14"/>
  <c r="AA18" i="14" s="1"/>
  <c r="Z19" i="14"/>
  <c r="AA19" i="14" s="1"/>
  <c r="Y3" i="14"/>
  <c r="Y4" i="14"/>
  <c r="Y5" i="14"/>
  <c r="Y6" i="14"/>
  <c r="Y7" i="14"/>
  <c r="Y8" i="14"/>
  <c r="Z8" i="14" s="1"/>
  <c r="AA8" i="14" s="1"/>
  <c r="Y9" i="14"/>
  <c r="Z9" i="14" s="1"/>
  <c r="AA9" i="14" s="1"/>
  <c r="Y10" i="14"/>
  <c r="Z10" i="14" s="1"/>
  <c r="AA10" i="14" s="1"/>
  <c r="Y11" i="14"/>
  <c r="Z11" i="14" s="1"/>
  <c r="AA11" i="14" s="1"/>
  <c r="Y12" i="14"/>
  <c r="Z12" i="14" s="1"/>
  <c r="AA12" i="14" s="1"/>
  <c r="Y13" i="14"/>
  <c r="Z13" i="14" s="1"/>
  <c r="AA13" i="14" s="1"/>
  <c r="Y14" i="14"/>
  <c r="Z14" i="14" s="1"/>
  <c r="AA14" i="14" s="1"/>
  <c r="Y15" i="14"/>
  <c r="Y16" i="14"/>
  <c r="Y17" i="14"/>
  <c r="Y18" i="14"/>
  <c r="Y19" i="14"/>
  <c r="Y2" i="14"/>
  <c r="Z2" i="14" s="1"/>
  <c r="V9" i="14"/>
  <c r="W9" i="14" s="1"/>
  <c r="V10" i="14"/>
  <c r="W10" i="14" s="1"/>
  <c r="V11" i="14"/>
  <c r="W11" i="14" s="1"/>
  <c r="V12" i="14"/>
  <c r="W12" i="14" s="1"/>
  <c r="V13" i="14"/>
  <c r="W13" i="14" s="1"/>
  <c r="U3" i="14"/>
  <c r="V3" i="14" s="1"/>
  <c r="W3" i="14" s="1"/>
  <c r="U4" i="14"/>
  <c r="V4" i="14" s="1"/>
  <c r="W4" i="14" s="1"/>
  <c r="U5" i="14"/>
  <c r="V5" i="14" s="1"/>
  <c r="W5" i="14" s="1"/>
  <c r="U6" i="14"/>
  <c r="V6" i="14" s="1"/>
  <c r="W6" i="14" s="1"/>
  <c r="U7" i="14"/>
  <c r="V7" i="14" s="1"/>
  <c r="W7" i="14" s="1"/>
  <c r="U8" i="14"/>
  <c r="V8" i="14" s="1"/>
  <c r="W8" i="14" s="1"/>
  <c r="U9" i="14"/>
  <c r="U10" i="14"/>
  <c r="U11" i="14"/>
  <c r="U12" i="14"/>
  <c r="U13" i="14"/>
  <c r="U14" i="14"/>
  <c r="V14" i="14" s="1"/>
  <c r="W14" i="14" s="1"/>
  <c r="U15" i="14"/>
  <c r="V15" i="14" s="1"/>
  <c r="W15" i="14" s="1"/>
  <c r="U16" i="14"/>
  <c r="V16" i="14" s="1"/>
  <c r="W16" i="14" s="1"/>
  <c r="U17" i="14"/>
  <c r="V17" i="14" s="1"/>
  <c r="W17" i="14" s="1"/>
  <c r="U18" i="14"/>
  <c r="V18" i="14" s="1"/>
  <c r="W18" i="14" s="1"/>
  <c r="U19" i="14"/>
  <c r="V19" i="14" s="1"/>
  <c r="W19" i="14" s="1"/>
  <c r="U2" i="14"/>
  <c r="V2" i="14" s="1"/>
  <c r="S11" i="14"/>
  <c r="S12" i="14"/>
  <c r="R3" i="14"/>
  <c r="S3" i="14" s="1"/>
  <c r="R4" i="14"/>
  <c r="S4" i="14" s="1"/>
  <c r="R5" i="14"/>
  <c r="S5" i="14" s="1"/>
  <c r="R6" i="14"/>
  <c r="S6" i="14" s="1"/>
  <c r="R7" i="14"/>
  <c r="S7" i="14" s="1"/>
  <c r="R11" i="14"/>
  <c r="R12" i="14"/>
  <c r="R13" i="14"/>
  <c r="S13" i="14" s="1"/>
  <c r="R14" i="14"/>
  <c r="S14" i="14" s="1"/>
  <c r="R15" i="14"/>
  <c r="S15" i="14" s="1"/>
  <c r="R16" i="14"/>
  <c r="S16" i="14" s="1"/>
  <c r="R17" i="14"/>
  <c r="S17" i="14" s="1"/>
  <c r="R18" i="14"/>
  <c r="S18" i="14" s="1"/>
  <c r="R19" i="14"/>
  <c r="S19" i="14" s="1"/>
  <c r="Q16" i="14"/>
  <c r="Q17" i="14"/>
  <c r="Q18" i="14"/>
  <c r="Q19" i="14"/>
  <c r="Q3" i="14"/>
  <c r="Q4" i="14"/>
  <c r="Q5" i="14"/>
  <c r="Q6" i="14"/>
  <c r="Q7" i="14"/>
  <c r="Q8" i="14"/>
  <c r="R8" i="14" s="1"/>
  <c r="S8" i="14" s="1"/>
  <c r="Q9" i="14"/>
  <c r="R9" i="14" s="1"/>
  <c r="S9" i="14" s="1"/>
  <c r="Q10" i="14"/>
  <c r="R10" i="14" s="1"/>
  <c r="S10" i="14" s="1"/>
  <c r="Q11" i="14"/>
  <c r="Q12" i="14"/>
  <c r="Q13" i="14"/>
  <c r="Q14" i="14"/>
  <c r="Q15" i="14"/>
  <c r="Q2" i="14"/>
  <c r="R2" i="14" s="1"/>
  <c r="R21" i="14" s="1"/>
  <c r="N3" i="14"/>
  <c r="O3" i="14" s="1"/>
  <c r="N11" i="14"/>
  <c r="O11" i="14" s="1"/>
  <c r="N12" i="14"/>
  <c r="O12" i="14" s="1"/>
  <c r="N13" i="14"/>
  <c r="O13" i="14" s="1"/>
  <c r="N14" i="14"/>
  <c r="O14" i="14" s="1"/>
  <c r="N15" i="14"/>
  <c r="O15" i="14" s="1"/>
  <c r="M3" i="14"/>
  <c r="M4" i="14"/>
  <c r="N4" i="14" s="1"/>
  <c r="O4" i="14" s="1"/>
  <c r="M5" i="14"/>
  <c r="N5" i="14" s="1"/>
  <c r="O5" i="14" s="1"/>
  <c r="M6" i="14"/>
  <c r="N6" i="14" s="1"/>
  <c r="O6" i="14" s="1"/>
  <c r="M7" i="14"/>
  <c r="N7" i="14" s="1"/>
  <c r="O7" i="14" s="1"/>
  <c r="M8" i="14"/>
  <c r="N8" i="14" s="1"/>
  <c r="O8" i="14" s="1"/>
  <c r="M9" i="14"/>
  <c r="N9" i="14" s="1"/>
  <c r="O9" i="14" s="1"/>
  <c r="M10" i="14"/>
  <c r="N10" i="14" s="1"/>
  <c r="O10" i="14" s="1"/>
  <c r="M11" i="14"/>
  <c r="M12" i="14"/>
  <c r="M13" i="14"/>
  <c r="M14" i="14"/>
  <c r="M15" i="14"/>
  <c r="M16" i="14"/>
  <c r="N16" i="14" s="1"/>
  <c r="O16" i="14" s="1"/>
  <c r="M17" i="14"/>
  <c r="N17" i="14" s="1"/>
  <c r="O17" i="14" s="1"/>
  <c r="M18" i="14"/>
  <c r="N18" i="14" s="1"/>
  <c r="O18" i="14" s="1"/>
  <c r="M19" i="14"/>
  <c r="N19" i="14" s="1"/>
  <c r="O19" i="14" s="1"/>
  <c r="M2" i="14"/>
  <c r="N2" i="14" s="1"/>
  <c r="J5" i="14"/>
  <c r="K5" i="14" s="1"/>
  <c r="J6" i="14"/>
  <c r="K6" i="14" s="1"/>
  <c r="J7" i="14"/>
  <c r="K7" i="14" s="1"/>
  <c r="J8" i="14"/>
  <c r="K8" i="14" s="1"/>
  <c r="J9" i="14"/>
  <c r="K9" i="14" s="1"/>
  <c r="J17" i="14"/>
  <c r="K17" i="14" s="1"/>
  <c r="J18" i="14"/>
  <c r="K18" i="14" s="1"/>
  <c r="J19" i="14"/>
  <c r="K19" i="14" s="1"/>
  <c r="I3" i="14"/>
  <c r="J3" i="14" s="1"/>
  <c r="I4" i="14"/>
  <c r="J4" i="14" s="1"/>
  <c r="K4" i="14" s="1"/>
  <c r="I5" i="14"/>
  <c r="I6" i="14"/>
  <c r="I7" i="14"/>
  <c r="I8" i="14"/>
  <c r="I9" i="14"/>
  <c r="I10" i="14"/>
  <c r="J10" i="14" s="1"/>
  <c r="K10" i="14" s="1"/>
  <c r="I11" i="14"/>
  <c r="J11" i="14" s="1"/>
  <c r="K11" i="14" s="1"/>
  <c r="I12" i="14"/>
  <c r="J12" i="14" s="1"/>
  <c r="K12" i="14" s="1"/>
  <c r="I13" i="14"/>
  <c r="J13" i="14" s="1"/>
  <c r="K13" i="14" s="1"/>
  <c r="I14" i="14"/>
  <c r="J14" i="14" s="1"/>
  <c r="K14" i="14" s="1"/>
  <c r="I15" i="14"/>
  <c r="J15" i="14" s="1"/>
  <c r="K15" i="14" s="1"/>
  <c r="I16" i="14"/>
  <c r="J16" i="14" s="1"/>
  <c r="K16" i="14" s="1"/>
  <c r="I17" i="14"/>
  <c r="I18" i="14"/>
  <c r="I19" i="14"/>
  <c r="I2" i="14"/>
  <c r="J2" i="14" s="1"/>
  <c r="F3" i="14"/>
  <c r="G3" i="14" s="1"/>
  <c r="F11" i="14"/>
  <c r="G11" i="14" s="1"/>
  <c r="F12" i="14"/>
  <c r="G12" i="14" s="1"/>
  <c r="F13" i="14"/>
  <c r="G13" i="14" s="1"/>
  <c r="F14" i="14"/>
  <c r="G14" i="14" s="1"/>
  <c r="F15" i="14"/>
  <c r="G15" i="14" s="1"/>
  <c r="E3" i="14"/>
  <c r="E4" i="14"/>
  <c r="F4" i="14" s="1"/>
  <c r="G4" i="14" s="1"/>
  <c r="E5" i="14"/>
  <c r="F5" i="14" s="1"/>
  <c r="G5" i="14" s="1"/>
  <c r="E6" i="14"/>
  <c r="F6" i="14" s="1"/>
  <c r="G6" i="14" s="1"/>
  <c r="E7" i="14"/>
  <c r="F7" i="14" s="1"/>
  <c r="G7" i="14" s="1"/>
  <c r="E8" i="14"/>
  <c r="F8" i="14" s="1"/>
  <c r="G8" i="14" s="1"/>
  <c r="E9" i="14"/>
  <c r="F9" i="14" s="1"/>
  <c r="G9" i="14" s="1"/>
  <c r="E10" i="14"/>
  <c r="F10" i="14" s="1"/>
  <c r="G10" i="14" s="1"/>
  <c r="E11" i="14"/>
  <c r="E12" i="14"/>
  <c r="E13" i="14"/>
  <c r="E14" i="14"/>
  <c r="E15" i="14"/>
  <c r="E16" i="14"/>
  <c r="F16" i="14" s="1"/>
  <c r="G16" i="14" s="1"/>
  <c r="E17" i="14"/>
  <c r="F17" i="14" s="1"/>
  <c r="G17" i="14" s="1"/>
  <c r="E18" i="14"/>
  <c r="F18" i="14" s="1"/>
  <c r="G18" i="14" s="1"/>
  <c r="E19" i="14"/>
  <c r="F19" i="14" s="1"/>
  <c r="G19" i="14" s="1"/>
  <c r="E2" i="14"/>
  <c r="F2" i="14"/>
  <c r="C77" i="14"/>
  <c r="C20" i="14"/>
  <c r="C77" i="7"/>
  <c r="Z21" i="14" l="1"/>
  <c r="V21" i="14"/>
  <c r="K3" i="14"/>
  <c r="J21" i="14"/>
  <c r="F21" i="14"/>
  <c r="AA2" i="14"/>
  <c r="AA21" i="14" s="1"/>
  <c r="K2" i="14"/>
  <c r="K21" i="14" s="1"/>
  <c r="W2" i="14"/>
  <c r="W21" i="14" s="1"/>
  <c r="G2" i="14"/>
  <c r="G21" i="14" s="1"/>
  <c r="O2" i="14"/>
  <c r="O21" i="14" s="1"/>
  <c r="N21" i="14"/>
  <c r="S2" i="14"/>
  <c r="S21" i="14" s="1"/>
  <c r="F8" i="7" l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N2" i="7"/>
  <c r="Z9" i="7" l="1"/>
  <c r="AA9" i="7" s="1"/>
  <c r="Z10" i="7"/>
  <c r="AA10" i="7" s="1"/>
  <c r="Z11" i="7"/>
  <c r="AA11" i="7" s="1"/>
  <c r="V11" i="7"/>
  <c r="W11" i="7" s="1"/>
  <c r="V12" i="7"/>
  <c r="W12" i="7" s="1"/>
  <c r="V13" i="7"/>
  <c r="W13" i="7" s="1"/>
  <c r="R3" i="7"/>
  <c r="S3" i="7" s="1"/>
  <c r="R15" i="7"/>
  <c r="S15" i="7" s="1"/>
  <c r="O8" i="7"/>
  <c r="O13" i="7"/>
  <c r="O14" i="7"/>
  <c r="O2" i="7"/>
  <c r="J5" i="7"/>
  <c r="J7" i="7"/>
  <c r="J8" i="7"/>
  <c r="K8" i="7" s="1"/>
  <c r="J9" i="7"/>
  <c r="K9" i="7" s="1"/>
  <c r="N3" i="7"/>
  <c r="O3" i="7" s="1"/>
  <c r="N4" i="7"/>
  <c r="O4" i="7" s="1"/>
  <c r="N5" i="7"/>
  <c r="O5" i="7" s="1"/>
  <c r="N6" i="7"/>
  <c r="O6" i="7" s="1"/>
  <c r="N7" i="7"/>
  <c r="O7" i="7" s="1"/>
  <c r="N8" i="7"/>
  <c r="N9" i="7"/>
  <c r="O9" i="7" s="1"/>
  <c r="N10" i="7"/>
  <c r="O10" i="7" s="1"/>
  <c r="N11" i="7"/>
  <c r="O11" i="7" s="1"/>
  <c r="N12" i="7"/>
  <c r="O12" i="7" s="1"/>
  <c r="N13" i="7"/>
  <c r="N14" i="7"/>
  <c r="N15" i="7"/>
  <c r="O15" i="7" s="1"/>
  <c r="K5" i="7"/>
  <c r="K7" i="7"/>
  <c r="Z2" i="7"/>
  <c r="AA2" i="7" s="1"/>
  <c r="Z3" i="7"/>
  <c r="AA3" i="7" s="1"/>
  <c r="Z4" i="7"/>
  <c r="Z5" i="7"/>
  <c r="AA5" i="7" s="1"/>
  <c r="Z6" i="7"/>
  <c r="AA6" i="7" s="1"/>
  <c r="Z7" i="7"/>
  <c r="AA7" i="7" s="1"/>
  <c r="Z8" i="7"/>
  <c r="AA8" i="7" s="1"/>
  <c r="Z12" i="7"/>
  <c r="AA12" i="7" s="1"/>
  <c r="Z13" i="7"/>
  <c r="AA13" i="7" s="1"/>
  <c r="Z14" i="7"/>
  <c r="AA14" i="7" s="1"/>
  <c r="Z15" i="7"/>
  <c r="AA15" i="7" s="1"/>
  <c r="V3" i="7"/>
  <c r="W3" i="7" s="1"/>
  <c r="V4" i="7"/>
  <c r="W4" i="7" s="1"/>
  <c r="V5" i="7"/>
  <c r="W5" i="7" s="1"/>
  <c r="V6" i="7"/>
  <c r="W6" i="7" s="1"/>
  <c r="V7" i="7"/>
  <c r="W7" i="7" s="1"/>
  <c r="V8" i="7"/>
  <c r="W8" i="7" s="1"/>
  <c r="V9" i="7"/>
  <c r="W9" i="7" s="1"/>
  <c r="V10" i="7"/>
  <c r="W10" i="7" s="1"/>
  <c r="V14" i="7"/>
  <c r="W14" i="7" s="1"/>
  <c r="V15" i="7"/>
  <c r="W15" i="7" s="1"/>
  <c r="V2" i="7"/>
  <c r="R4" i="7"/>
  <c r="S4" i="7" s="1"/>
  <c r="R5" i="7"/>
  <c r="S5" i="7" s="1"/>
  <c r="R6" i="7"/>
  <c r="S6" i="7" s="1"/>
  <c r="R7" i="7"/>
  <c r="S7" i="7" s="1"/>
  <c r="R8" i="7"/>
  <c r="S8" i="7" s="1"/>
  <c r="R9" i="7"/>
  <c r="S9" i="7" s="1"/>
  <c r="R10" i="7"/>
  <c r="S10" i="7" s="1"/>
  <c r="R11" i="7"/>
  <c r="S11" i="7" s="1"/>
  <c r="R12" i="7"/>
  <c r="S12" i="7" s="1"/>
  <c r="R13" i="7"/>
  <c r="S13" i="7" s="1"/>
  <c r="R14" i="7"/>
  <c r="S14" i="7" s="1"/>
  <c r="R2" i="7"/>
  <c r="S2" i="7" s="1"/>
  <c r="G2" i="7"/>
  <c r="G9" i="7"/>
  <c r="G11" i="7"/>
  <c r="I3" i="7"/>
  <c r="J3" i="7" s="1"/>
  <c r="K3" i="7" s="1"/>
  <c r="I4" i="7"/>
  <c r="J4" i="7" s="1"/>
  <c r="K4" i="7" s="1"/>
  <c r="I5" i="7"/>
  <c r="I6" i="7"/>
  <c r="J6" i="7" s="1"/>
  <c r="I7" i="7"/>
  <c r="I8" i="7"/>
  <c r="I9" i="7"/>
  <c r="I10" i="7"/>
  <c r="J10" i="7" s="1"/>
  <c r="K10" i="7" s="1"/>
  <c r="I11" i="7"/>
  <c r="J11" i="7" s="1"/>
  <c r="K11" i="7" s="1"/>
  <c r="I12" i="7"/>
  <c r="J12" i="7" s="1"/>
  <c r="K12" i="7" s="1"/>
  <c r="I13" i="7"/>
  <c r="J13" i="7" s="1"/>
  <c r="K13" i="7" s="1"/>
  <c r="I14" i="7"/>
  <c r="J14" i="7" s="1"/>
  <c r="K14" i="7" s="1"/>
  <c r="I15" i="7"/>
  <c r="J15" i="7" s="1"/>
  <c r="K15" i="7" s="1"/>
  <c r="I2" i="7"/>
  <c r="J2" i="7" s="1"/>
  <c r="K2" i="7" s="1"/>
  <c r="F3" i="7"/>
  <c r="G3" i="7" s="1"/>
  <c r="F7" i="7"/>
  <c r="G7" i="7" s="1"/>
  <c r="F9" i="7"/>
  <c r="F11" i="7"/>
  <c r="F12" i="7"/>
  <c r="G12" i="7" s="1"/>
  <c r="F15" i="7"/>
  <c r="G15" i="7" s="1"/>
  <c r="E3" i="7"/>
  <c r="E4" i="7"/>
  <c r="F4" i="7" s="1"/>
  <c r="E5" i="7"/>
  <c r="F5" i="7" s="1"/>
  <c r="G5" i="7" s="1"/>
  <c r="E6" i="7"/>
  <c r="F6" i="7" s="1"/>
  <c r="G6" i="7" s="1"/>
  <c r="E7" i="7"/>
  <c r="E8" i="7"/>
  <c r="G8" i="7" s="1"/>
  <c r="E9" i="7"/>
  <c r="E10" i="7"/>
  <c r="F10" i="7" s="1"/>
  <c r="G10" i="7" s="1"/>
  <c r="E11" i="7"/>
  <c r="E12" i="7"/>
  <c r="E13" i="7"/>
  <c r="F13" i="7" s="1"/>
  <c r="G13" i="7" s="1"/>
  <c r="E14" i="7"/>
  <c r="F14" i="7" s="1"/>
  <c r="G14" i="7" s="1"/>
  <c r="E15" i="7"/>
  <c r="C16" i="7"/>
  <c r="G4" i="7" l="1"/>
  <c r="G17" i="7" s="1"/>
  <c r="F17" i="7"/>
  <c r="J17" i="7"/>
  <c r="O17" i="7"/>
  <c r="Z17" i="7"/>
  <c r="AA4" i="7"/>
  <c r="AA17" i="7" s="1"/>
  <c r="V17" i="7"/>
  <c r="W2" i="7"/>
  <c r="W17" i="7" s="1"/>
  <c r="S17" i="7"/>
  <c r="R17" i="7"/>
  <c r="K6" i="7"/>
  <c r="K17" i="7" s="1"/>
  <c r="N17" i="7"/>
  <c r="B3" i="4" l="1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12" i="4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B31" i="4"/>
  <c r="C31" i="4"/>
  <c r="D31" i="4"/>
  <c r="E31" i="4"/>
  <c r="F31" i="4"/>
  <c r="B32" i="4"/>
  <c r="C32" i="4"/>
  <c r="D32" i="4"/>
  <c r="E32" i="4"/>
  <c r="F32" i="4"/>
  <c r="B33" i="4"/>
  <c r="C33" i="4"/>
  <c r="D33" i="4"/>
  <c r="E33" i="4"/>
  <c r="F33" i="4"/>
  <c r="B34" i="4"/>
  <c r="C34" i="4"/>
  <c r="D34" i="4"/>
  <c r="E34" i="4"/>
  <c r="F34" i="4"/>
  <c r="B35" i="4"/>
  <c r="C35" i="4"/>
  <c r="D35" i="4"/>
  <c r="E35" i="4"/>
  <c r="F35" i="4"/>
  <c r="B36" i="4"/>
  <c r="C36" i="4"/>
  <c r="D36" i="4"/>
  <c r="E36" i="4"/>
  <c r="F36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1" i="4"/>
  <c r="C41" i="4"/>
  <c r="D41" i="4"/>
  <c r="E41" i="4"/>
  <c r="F41" i="4"/>
  <c r="B42" i="4"/>
  <c r="C42" i="4"/>
  <c r="D42" i="4"/>
  <c r="E42" i="4"/>
  <c r="F42" i="4"/>
  <c r="B43" i="4"/>
  <c r="C43" i="4"/>
  <c r="D43" i="4"/>
  <c r="E43" i="4"/>
  <c r="F43" i="4"/>
  <c r="B44" i="4"/>
  <c r="C44" i="4"/>
  <c r="D44" i="4"/>
  <c r="E44" i="4"/>
  <c r="F44" i="4"/>
  <c r="B45" i="4"/>
  <c r="C45" i="4"/>
  <c r="D45" i="4"/>
  <c r="E45" i="4"/>
  <c r="F45" i="4"/>
  <c r="B46" i="4"/>
  <c r="C46" i="4"/>
  <c r="D46" i="4"/>
  <c r="E46" i="4"/>
  <c r="F46" i="4"/>
  <c r="B47" i="4"/>
  <c r="C47" i="4"/>
  <c r="D47" i="4"/>
  <c r="E47" i="4"/>
  <c r="F47" i="4"/>
  <c r="B48" i="4"/>
  <c r="C48" i="4"/>
  <c r="D48" i="4"/>
  <c r="E48" i="4"/>
  <c r="F48" i="4"/>
  <c r="B49" i="4"/>
  <c r="C49" i="4"/>
  <c r="D49" i="4"/>
  <c r="E49" i="4"/>
  <c r="F49" i="4"/>
  <c r="B50" i="4"/>
  <c r="C50" i="4"/>
  <c r="D50" i="4"/>
  <c r="E50" i="4"/>
  <c r="F50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/>
  <c r="E56" i="4"/>
  <c r="F56" i="4"/>
  <c r="B57" i="4"/>
  <c r="C57" i="4"/>
  <c r="D57" i="4"/>
  <c r="E57" i="4"/>
  <c r="F57" i="4"/>
  <c r="B58" i="4"/>
  <c r="C58" i="4"/>
  <c r="D58" i="4"/>
  <c r="E58" i="4"/>
  <c r="F58" i="4"/>
  <c r="B59" i="4"/>
  <c r="C59" i="4"/>
  <c r="D59" i="4"/>
  <c r="E59" i="4"/>
  <c r="F59" i="4"/>
  <c r="B60" i="4"/>
  <c r="C60" i="4"/>
  <c r="D60" i="4"/>
  <c r="E60" i="4"/>
  <c r="F60" i="4"/>
  <c r="B61" i="4"/>
  <c r="C61" i="4"/>
  <c r="D61" i="4"/>
  <c r="E61" i="4"/>
  <c r="F61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B68" i="4"/>
  <c r="C68" i="4"/>
  <c r="D68" i="4"/>
  <c r="E68" i="4"/>
  <c r="F68" i="4"/>
  <c r="B69" i="4"/>
  <c r="C69" i="4"/>
  <c r="D69" i="4"/>
  <c r="E69" i="4"/>
  <c r="F69" i="4"/>
  <c r="B70" i="4"/>
  <c r="C70" i="4"/>
  <c r="D70" i="4"/>
  <c r="E70" i="4"/>
  <c r="F70" i="4"/>
  <c r="B71" i="4"/>
  <c r="C71" i="4"/>
  <c r="D71" i="4"/>
  <c r="E71" i="4"/>
  <c r="F71" i="4"/>
  <c r="B72" i="4"/>
  <c r="C72" i="4"/>
  <c r="D72" i="4"/>
  <c r="E72" i="4"/>
  <c r="F72" i="4"/>
  <c r="B73" i="4"/>
  <c r="C73" i="4"/>
  <c r="D73" i="4"/>
  <c r="E73" i="4"/>
  <c r="F73" i="4"/>
  <c r="B74" i="4"/>
  <c r="C74" i="4"/>
  <c r="D74" i="4"/>
  <c r="E74" i="4"/>
  <c r="F74" i="4"/>
  <c r="B75" i="4"/>
  <c r="C75" i="4"/>
  <c r="D75" i="4"/>
  <c r="E75" i="4"/>
  <c r="F75" i="4"/>
  <c r="F2" i="4"/>
  <c r="E2" i="4"/>
  <c r="D2" i="4"/>
  <c r="C2" i="4"/>
  <c r="B2" i="4"/>
  <c r="E5" i="3"/>
  <c r="H3" i="3" s="1"/>
  <c r="E4" i="3"/>
  <c r="E2" i="3"/>
  <c r="E3" i="3"/>
  <c r="E1" i="3"/>
  <c r="J63" i="3" l="1"/>
  <c r="K63" i="3" s="1"/>
  <c r="J75" i="3"/>
  <c r="K75" i="3" s="1"/>
  <c r="J30" i="3"/>
  <c r="K30" i="3" s="1"/>
  <c r="J23" i="3"/>
  <c r="K23" i="3" s="1"/>
  <c r="J49" i="3"/>
  <c r="K49" i="3" s="1"/>
  <c r="J4" i="3"/>
  <c r="K4" i="3" s="1"/>
  <c r="J16" i="3"/>
  <c r="K16" i="3" s="1"/>
  <c r="J64" i="3"/>
  <c r="K64" i="3" s="1"/>
  <c r="J18" i="3"/>
  <c r="K18" i="3" s="1"/>
  <c r="J66" i="3"/>
  <c r="K66" i="3" s="1"/>
  <c r="J10" i="3"/>
  <c r="K10" i="3" s="1"/>
  <c r="J34" i="3"/>
  <c r="K34" i="3" s="1"/>
  <c r="J58" i="3"/>
  <c r="K58" i="3" s="1"/>
  <c r="J71" i="3"/>
  <c r="K71" i="3" s="1"/>
  <c r="J38" i="3"/>
  <c r="K38" i="3" s="1"/>
  <c r="J41" i="3"/>
  <c r="K41" i="3" s="1"/>
  <c r="J65" i="3"/>
  <c r="K65" i="3" s="1"/>
  <c r="J54" i="3"/>
  <c r="K54" i="3" s="1"/>
  <c r="J70" i="3"/>
  <c r="K70" i="3" s="1"/>
  <c r="J59" i="3"/>
  <c r="K59" i="3" s="1"/>
  <c r="J6" i="3"/>
  <c r="K6" i="3" s="1"/>
  <c r="J42" i="3"/>
  <c r="K42" i="3" s="1"/>
  <c r="J25" i="3"/>
  <c r="K25" i="3" s="1"/>
  <c r="J31" i="3"/>
  <c r="K31" i="3" s="1"/>
  <c r="J55" i="3"/>
  <c r="K55" i="3" s="1"/>
  <c r="J67" i="3"/>
  <c r="K67" i="3" s="1"/>
  <c r="J50" i="3"/>
  <c r="K50" i="3" s="1"/>
  <c r="J8" i="3"/>
  <c r="K8" i="3" s="1"/>
  <c r="J20" i="3"/>
  <c r="K20" i="3" s="1"/>
  <c r="J32" i="3"/>
  <c r="K32" i="3" s="1"/>
  <c r="J44" i="3"/>
  <c r="K44" i="3" s="1"/>
  <c r="J35" i="3"/>
  <c r="K35" i="3" s="1"/>
  <c r="J74" i="3"/>
  <c r="K74" i="3" s="1"/>
  <c r="J9" i="3"/>
  <c r="K9" i="3" s="1"/>
  <c r="J21" i="3"/>
  <c r="K21" i="3" s="1"/>
  <c r="J33" i="3"/>
  <c r="K33" i="3" s="1"/>
  <c r="J45" i="3"/>
  <c r="K45" i="3" s="1"/>
  <c r="J57" i="3"/>
  <c r="K57" i="3" s="1"/>
  <c r="J69" i="3"/>
  <c r="K69" i="3" s="1"/>
  <c r="J13" i="3"/>
  <c r="K13" i="3" s="1"/>
  <c r="J61" i="3"/>
  <c r="K61" i="3" s="1"/>
  <c r="J14" i="3"/>
  <c r="K14" i="3" s="1"/>
  <c r="J62" i="3"/>
  <c r="K62" i="3" s="1"/>
  <c r="J12" i="3"/>
  <c r="K12" i="3" s="1"/>
  <c r="J24" i="3"/>
  <c r="K24" i="3" s="1"/>
  <c r="J36" i="3"/>
  <c r="K36" i="3" s="1"/>
  <c r="J48" i="3"/>
  <c r="K48" i="3" s="1"/>
  <c r="H4" i="3"/>
  <c r="J3" i="3" s="1"/>
  <c r="K3" i="3" s="1"/>
  <c r="I2" i="4"/>
  <c r="J2" i="4" s="1"/>
  <c r="I66" i="4"/>
  <c r="J66" i="4" s="1"/>
  <c r="I54" i="4"/>
  <c r="J54" i="4" s="1"/>
  <c r="I42" i="4"/>
  <c r="J42" i="4" s="1"/>
  <c r="I30" i="4"/>
  <c r="J30" i="4" s="1"/>
  <c r="I18" i="4"/>
  <c r="J18" i="4" s="1"/>
  <c r="I6" i="4"/>
  <c r="J6" i="4" s="1"/>
  <c r="I25" i="4"/>
  <c r="J25" i="4" s="1"/>
  <c r="I44" i="4"/>
  <c r="J44" i="4" s="1"/>
  <c r="I20" i="4"/>
  <c r="J20" i="4" s="1"/>
  <c r="I75" i="4"/>
  <c r="J75" i="4" s="1"/>
  <c r="I51" i="4"/>
  <c r="J51" i="4" s="1"/>
  <c r="I39" i="4"/>
  <c r="J39" i="4" s="1"/>
  <c r="I15" i="4"/>
  <c r="J15" i="4" s="1"/>
  <c r="I70" i="4"/>
  <c r="J70" i="4" s="1"/>
  <c r="I46" i="4"/>
  <c r="J46" i="4" s="1"/>
  <c r="I10" i="4"/>
  <c r="J10" i="4" s="1"/>
  <c r="I65" i="4"/>
  <c r="J65" i="4" s="1"/>
  <c r="I53" i="4"/>
  <c r="J53" i="4" s="1"/>
  <c r="I41" i="4"/>
  <c r="J41" i="4" s="1"/>
  <c r="I72" i="4"/>
  <c r="J72" i="4" s="1"/>
  <c r="I60" i="4"/>
  <c r="J60" i="4" s="1"/>
  <c r="I48" i="4"/>
  <c r="J48" i="4" s="1"/>
  <c r="I24" i="4"/>
  <c r="J24" i="4" s="1"/>
  <c r="I12" i="4"/>
  <c r="J12" i="4" s="1"/>
  <c r="I67" i="4"/>
  <c r="J67" i="4" s="1"/>
  <c r="I55" i="4"/>
  <c r="J55" i="4" s="1"/>
  <c r="I74" i="4"/>
  <c r="J74" i="4" s="1"/>
  <c r="I62" i="4"/>
  <c r="J62" i="4" s="1"/>
  <c r="I50" i="4"/>
  <c r="J50" i="4" s="1"/>
  <c r="I38" i="4"/>
  <c r="J38" i="4" s="1"/>
  <c r="I26" i="4"/>
  <c r="J26" i="4" s="1"/>
  <c r="I14" i="4"/>
  <c r="J14" i="4" s="1"/>
  <c r="I69" i="4"/>
  <c r="J69" i="4" s="1"/>
  <c r="I57" i="4"/>
  <c r="J57" i="4" s="1"/>
  <c r="I45" i="4"/>
  <c r="J45" i="4" s="1"/>
  <c r="I33" i="4"/>
  <c r="J33" i="4" s="1"/>
  <c r="I21" i="4"/>
  <c r="J21" i="4" s="1"/>
  <c r="I9" i="4"/>
  <c r="J9" i="4" s="1"/>
  <c r="I73" i="4"/>
  <c r="J73" i="4" s="1"/>
  <c r="I36" i="4"/>
  <c r="J36" i="4" s="1"/>
  <c r="I64" i="4"/>
  <c r="J64" i="4" s="1"/>
  <c r="I52" i="4"/>
  <c r="J52" i="4" s="1"/>
  <c r="I40" i="4"/>
  <c r="J40" i="4" s="1"/>
  <c r="I28" i="4"/>
  <c r="J28" i="4" s="1"/>
  <c r="I16" i="4"/>
  <c r="J16" i="4" s="1"/>
  <c r="I4" i="4"/>
  <c r="J4" i="4" s="1"/>
  <c r="I61" i="4"/>
  <c r="J61" i="4" s="1"/>
  <c r="I49" i="4"/>
  <c r="J49" i="4" s="1"/>
  <c r="I37" i="4"/>
  <c r="J37" i="4" s="1"/>
  <c r="I13" i="4"/>
  <c r="J13" i="4" s="1"/>
  <c r="I68" i="4"/>
  <c r="J68" i="4" s="1"/>
  <c r="I56" i="4"/>
  <c r="J56" i="4" s="1"/>
  <c r="I32" i="4"/>
  <c r="J32" i="4" s="1"/>
  <c r="I8" i="4"/>
  <c r="J8" i="4" s="1"/>
  <c r="I63" i="4"/>
  <c r="J63" i="4" s="1"/>
  <c r="I27" i="4"/>
  <c r="J27" i="4" s="1"/>
  <c r="I3" i="4"/>
  <c r="J3" i="4" s="1"/>
  <c r="I58" i="4"/>
  <c r="J58" i="4" s="1"/>
  <c r="I34" i="4"/>
  <c r="J34" i="4" s="1"/>
  <c r="I22" i="4"/>
  <c r="J22" i="4" s="1"/>
  <c r="I29" i="4"/>
  <c r="J29" i="4" s="1"/>
  <c r="I17" i="4"/>
  <c r="J17" i="4" s="1"/>
  <c r="I5" i="4"/>
  <c r="J5" i="4" s="1"/>
  <c r="I43" i="4"/>
  <c r="J43" i="4" s="1"/>
  <c r="I31" i="4"/>
  <c r="J31" i="4" s="1"/>
  <c r="I19" i="4"/>
  <c r="J19" i="4" s="1"/>
  <c r="I7" i="4"/>
  <c r="J7" i="4" s="1"/>
  <c r="I71" i="4"/>
  <c r="J71" i="4" s="1"/>
  <c r="I59" i="4"/>
  <c r="J59" i="4" s="1"/>
  <c r="I47" i="4"/>
  <c r="J47" i="4" s="1"/>
  <c r="I35" i="4"/>
  <c r="J35" i="4" s="1"/>
  <c r="I23" i="4"/>
  <c r="J23" i="4" s="1"/>
  <c r="I11" i="4"/>
  <c r="J11" i="4" s="1"/>
  <c r="J37" i="3" l="1"/>
  <c r="K37" i="3" s="1"/>
  <c r="J26" i="3"/>
  <c r="K26" i="3" s="1"/>
  <c r="J43" i="3"/>
  <c r="K43" i="3" s="1"/>
  <c r="J53" i="3"/>
  <c r="K53" i="3" s="1"/>
  <c r="J2" i="3"/>
  <c r="K2" i="3" s="1"/>
  <c r="J51" i="3"/>
  <c r="K51" i="3" s="1"/>
  <c r="J39" i="3"/>
  <c r="K39" i="3" s="1"/>
  <c r="J47" i="3"/>
  <c r="K47" i="3" s="1"/>
  <c r="J46" i="3"/>
  <c r="K46" i="3" s="1"/>
  <c r="J19" i="3"/>
  <c r="K19" i="3" s="1"/>
  <c r="J29" i="3"/>
  <c r="K29" i="3" s="1"/>
  <c r="J52" i="3"/>
  <c r="K52" i="3" s="1"/>
  <c r="J27" i="3"/>
  <c r="K27" i="3" s="1"/>
  <c r="J72" i="3"/>
  <c r="K72" i="3" s="1"/>
  <c r="J11" i="3"/>
  <c r="K11" i="3" s="1"/>
  <c r="J68" i="3"/>
  <c r="K68" i="3" s="1"/>
  <c r="J7" i="3"/>
  <c r="K7" i="3" s="1"/>
  <c r="J17" i="3"/>
  <c r="K17" i="3" s="1"/>
  <c r="J40" i="3"/>
  <c r="K40" i="3" s="1"/>
  <c r="J15" i="3"/>
  <c r="K15" i="3" s="1"/>
  <c r="J60" i="3"/>
  <c r="K60" i="3" s="1"/>
  <c r="J22" i="3"/>
  <c r="K22" i="3" s="1"/>
  <c r="J56" i="3"/>
  <c r="K56" i="3" s="1"/>
  <c r="J73" i="3"/>
  <c r="K73" i="3" s="1"/>
  <c r="J5" i="3"/>
  <c r="K5" i="3" s="1"/>
  <c r="J28" i="3"/>
  <c r="K28" i="3" s="1"/>
</calcChain>
</file>

<file path=xl/sharedStrings.xml><?xml version="1.0" encoding="utf-8"?>
<sst xmlns="http://schemas.openxmlformats.org/spreadsheetml/2006/main" count="133" uniqueCount="66">
  <si>
    <t>Life Expectancy per Year</t>
  </si>
  <si>
    <t>Fertility Rate Per Year</t>
  </si>
  <si>
    <t>x-bar</t>
  </si>
  <si>
    <t>y-hat</t>
  </si>
  <si>
    <t>Residuals</t>
  </si>
  <si>
    <t>S_x</t>
  </si>
  <si>
    <t>y-bar</t>
  </si>
  <si>
    <t xml:space="preserve">m = </t>
  </si>
  <si>
    <t>S_y</t>
  </si>
  <si>
    <t xml:space="preserve">b = </t>
  </si>
  <si>
    <t xml:space="preserve">r </t>
  </si>
  <si>
    <t>L^2</t>
  </si>
  <si>
    <t>L^3</t>
  </si>
  <si>
    <t>L^4</t>
  </si>
  <si>
    <t>L^5</t>
  </si>
  <si>
    <t>L^6</t>
  </si>
  <si>
    <r>
      <t>y = -0.0001x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+ 0.0468x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- 8.7264x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+ 868.03x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- 48547x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+ 1E+06x - 2E+07</t>
    </r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</si>
  <si>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</si>
  <si>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</si>
  <si>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</si>
  <si>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</si>
  <si>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</si>
  <si>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</si>
  <si>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</si>
  <si>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</si>
  <si>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</si>
  <si>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</si>
  <si>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</si>
  <si>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</si>
  <si>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</si>
  <si>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</si>
  <si>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</si>
  <si>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</si>
  <si>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</si>
  <si>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</si>
  <si>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</si>
  <si>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</si>
  <si>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</si>
  <si>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</si>
  <si>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</si>
  <si>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</si>
  <si>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Absolute value</t>
  </si>
  <si>
    <t>Linear</t>
  </si>
  <si>
    <t>Square e</t>
  </si>
  <si>
    <t>2nd Degree</t>
  </si>
  <si>
    <t>Max</t>
  </si>
  <si>
    <t>Sum</t>
  </si>
  <si>
    <t>Absolute Value</t>
  </si>
  <si>
    <t>3rd Degree</t>
  </si>
  <si>
    <t>4th Degree</t>
  </si>
  <si>
    <t>5th Degree</t>
  </si>
  <si>
    <t>6th Degree</t>
  </si>
  <si>
    <t>Square</t>
  </si>
  <si>
    <t>Power</t>
  </si>
  <si>
    <t>linear</t>
  </si>
  <si>
    <t>2nd order polynomial</t>
  </si>
  <si>
    <t xml:space="preserve">3rd order polynomial </t>
  </si>
  <si>
    <t>4th order polynomial</t>
  </si>
  <si>
    <t>5th order polynomial</t>
  </si>
  <si>
    <t>6th order polynomial</t>
  </si>
  <si>
    <t>Logarithmic</t>
  </si>
  <si>
    <t>Exponential</t>
  </si>
  <si>
    <t>Max (1)</t>
  </si>
  <si>
    <t>Sum (1)</t>
  </si>
  <si>
    <t>Max (2)</t>
  </si>
  <si>
    <t>Sum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</si>
</sst>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444444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2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704864289511041E-3"/>
                  <c:y val="-0.41021817507992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1-4CC2-AB09-4306B3E1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7344"/>
        <c:axId val="66362352"/>
      </c:scatterChart>
      <c:valAx>
        <c:axId val="65847344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352"/>
        <c:crosses val="autoZero"/>
        <c:crossBetween val="midCat"/>
      </c:valAx>
      <c:valAx>
        <c:axId val="663623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2nd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8.6491624926061748E-3"/>
                  <c:y val="-0.34059343388286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F2-4151-A6F6-459F7AD08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7344"/>
        <c:axId val="66362352"/>
      </c:scatterChart>
      <c:valAx>
        <c:axId val="65847344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352"/>
        <c:crosses val="autoZero"/>
        <c:crossBetween val="midCat"/>
      </c:valAx>
      <c:valAx>
        <c:axId val="663623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3rd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4.2874671394630401E-2"/>
                  <c:y val="-0.373070194508927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B-4EC6-BA68-42E74A6D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7344"/>
        <c:axId val="66362352"/>
      </c:scatterChart>
      <c:valAx>
        <c:axId val="65847344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352"/>
        <c:crosses val="autoZero"/>
        <c:crossBetween val="midCat"/>
      </c:valAx>
      <c:valAx>
        <c:axId val="663623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4th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2782562322047595E-2"/>
                  <c:y val="-0.43489254662100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8-4D92-BED1-5624289B7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7344"/>
        <c:axId val="66362352"/>
      </c:scatterChart>
      <c:valAx>
        <c:axId val="65847344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352"/>
        <c:crosses val="autoZero"/>
        <c:crossBetween val="midCat"/>
      </c:valAx>
      <c:valAx>
        <c:axId val="663623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5th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5596137681957"/>
          <c:y val="0.18571911107479641"/>
          <c:w val="0.82489997682556659"/>
          <c:h val="0.6224778111581094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6.6692474392688703E-2"/>
                  <c:y val="-0.40245809909143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A9-4C1A-93FE-B146C0B26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7344"/>
        <c:axId val="66362352"/>
      </c:scatterChart>
      <c:valAx>
        <c:axId val="65847344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352"/>
        <c:crosses val="autoZero"/>
        <c:crossBetween val="midCat"/>
      </c:valAx>
      <c:valAx>
        <c:axId val="66362352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6th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0052165354330708"/>
                  <c:y val="-0.4215456401283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'1st - 6th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'1st - 6th order'!$B$2:$B$75</c:f>
              <c:numCache>
                <c:formatCode>General</c:formatCode>
                <c:ptCount val="74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3.512</c:v>
                </c:pt>
                <c:pt idx="10">
                  <c:v>3.4430000000000001</c:v>
                </c:pt>
                <c:pt idx="11">
                  <c:v>3.3730000000000002</c:v>
                </c:pt>
                <c:pt idx="12">
                  <c:v>3.3039999999999998</c:v>
                </c:pt>
                <c:pt idx="13">
                  <c:v>3.234</c:v>
                </c:pt>
                <c:pt idx="14">
                  <c:v>3.0960000000000001</c:v>
                </c:pt>
                <c:pt idx="15">
                  <c:v>2.9580000000000002</c:v>
                </c:pt>
                <c:pt idx="16">
                  <c:v>2.819</c:v>
                </c:pt>
                <c:pt idx="17">
                  <c:v>2.681</c:v>
                </c:pt>
                <c:pt idx="18">
                  <c:v>2.5430000000000001</c:v>
                </c:pt>
                <c:pt idx="19">
                  <c:v>2.44</c:v>
                </c:pt>
                <c:pt idx="20">
                  <c:v>2.3370000000000002</c:v>
                </c:pt>
                <c:pt idx="21">
                  <c:v>2.2349999999999999</c:v>
                </c:pt>
                <c:pt idx="22">
                  <c:v>2.1320000000000001</c:v>
                </c:pt>
                <c:pt idx="23">
                  <c:v>2.0289999999999999</c:v>
                </c:pt>
                <c:pt idx="24">
                  <c:v>1.978</c:v>
                </c:pt>
                <c:pt idx="25">
                  <c:v>1.9259999999999999</c:v>
                </c:pt>
                <c:pt idx="26">
                  <c:v>1.875</c:v>
                </c:pt>
                <c:pt idx="27">
                  <c:v>1.823</c:v>
                </c:pt>
                <c:pt idx="28">
                  <c:v>1.772</c:v>
                </c:pt>
                <c:pt idx="29">
                  <c:v>1.778</c:v>
                </c:pt>
                <c:pt idx="30">
                  <c:v>1.7849999999999999</c:v>
                </c:pt>
                <c:pt idx="31">
                  <c:v>1.7909999999999999</c:v>
                </c:pt>
                <c:pt idx="32">
                  <c:v>1.798</c:v>
                </c:pt>
                <c:pt idx="33">
                  <c:v>1.804</c:v>
                </c:pt>
                <c:pt idx="34">
                  <c:v>1.8260000000000001</c:v>
                </c:pt>
                <c:pt idx="35">
                  <c:v>1.8480000000000001</c:v>
                </c:pt>
                <c:pt idx="36">
                  <c:v>1.871</c:v>
                </c:pt>
                <c:pt idx="37">
                  <c:v>1.893</c:v>
                </c:pt>
                <c:pt idx="38">
                  <c:v>1.915</c:v>
                </c:pt>
                <c:pt idx="39">
                  <c:v>1.9379999999999999</c:v>
                </c:pt>
                <c:pt idx="40">
                  <c:v>1.9610000000000001</c:v>
                </c:pt>
                <c:pt idx="41">
                  <c:v>1.984</c:v>
                </c:pt>
                <c:pt idx="42">
                  <c:v>2.0070000000000001</c:v>
                </c:pt>
                <c:pt idx="43">
                  <c:v>2.0299999999999998</c:v>
                </c:pt>
                <c:pt idx="44">
                  <c:v>2.0230000000000001</c:v>
                </c:pt>
                <c:pt idx="45">
                  <c:v>2.016</c:v>
                </c:pt>
                <c:pt idx="46">
                  <c:v>2.0099999999999998</c:v>
                </c:pt>
                <c:pt idx="47">
                  <c:v>2.0030000000000001</c:v>
                </c:pt>
                <c:pt idx="48">
                  <c:v>1.996</c:v>
                </c:pt>
                <c:pt idx="49">
                  <c:v>2.0049999999999999</c:v>
                </c:pt>
                <c:pt idx="50">
                  <c:v>2.0139999999999998</c:v>
                </c:pt>
                <c:pt idx="51">
                  <c:v>2.024</c:v>
                </c:pt>
                <c:pt idx="52">
                  <c:v>2.0329999999999999</c:v>
                </c:pt>
                <c:pt idx="53">
                  <c:v>2.0419999999999998</c:v>
                </c:pt>
                <c:pt idx="54">
                  <c:v>2.0449999999999999</c:v>
                </c:pt>
                <c:pt idx="55">
                  <c:v>2.0470000000000002</c:v>
                </c:pt>
                <c:pt idx="56">
                  <c:v>2.0499999999999998</c:v>
                </c:pt>
                <c:pt idx="57">
                  <c:v>2.052</c:v>
                </c:pt>
                <c:pt idx="58">
                  <c:v>2.0550000000000002</c:v>
                </c:pt>
                <c:pt idx="59">
                  <c:v>2.0190000000000001</c:v>
                </c:pt>
                <c:pt idx="60">
                  <c:v>1.9830000000000001</c:v>
                </c:pt>
                <c:pt idx="61">
                  <c:v>1.9470000000000001</c:v>
                </c:pt>
                <c:pt idx="62">
                  <c:v>1.911</c:v>
                </c:pt>
                <c:pt idx="63">
                  <c:v>1.875</c:v>
                </c:pt>
                <c:pt idx="64">
                  <c:v>1.855</c:v>
                </c:pt>
                <c:pt idx="65">
                  <c:v>1.835</c:v>
                </c:pt>
                <c:pt idx="66">
                  <c:v>1.8160000000000001</c:v>
                </c:pt>
                <c:pt idx="67">
                  <c:v>1.796</c:v>
                </c:pt>
                <c:pt idx="68">
                  <c:v>1.776</c:v>
                </c:pt>
                <c:pt idx="69">
                  <c:v>1.778</c:v>
                </c:pt>
                <c:pt idx="70">
                  <c:v>1.7789999999999999</c:v>
                </c:pt>
                <c:pt idx="71">
                  <c:v>1.7809999999999999</c:v>
                </c:pt>
                <c:pt idx="72">
                  <c:v>1.782</c:v>
                </c:pt>
                <c:pt idx="73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B-45CF-8B6A-8A8EECF5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405119"/>
        <c:axId val="1020035343"/>
      </c:scatterChart>
      <c:valAx>
        <c:axId val="1644405119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35343"/>
        <c:crosses val="autoZero"/>
        <c:crossBetween val="midCat"/>
      </c:valAx>
      <c:valAx>
        <c:axId val="1020035343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Fertilitiy Rate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0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2831259497523"/>
          <c:y val="5.7142857142857141E-2"/>
          <c:w val="0.82082000377101771"/>
          <c:h val="0.65050168728908886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768310373568125E-2"/>
                  <c:y val="-0.374200634011657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-0.1302L + 11.946</a:t>
                    </a:r>
                    <a:br>
                      <a:rPr lang="en-US" baseline="0"/>
                    </a:br>
                    <a:r>
                      <a:rPr lang="en-US" baseline="0"/>
                      <a:t>R² = 0.6521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B-4901-BE3C-33CC14781B65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48-47F0-8B2B-91C041138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0097960014434"/>
          <c:y val="9.6298118636973448E-2"/>
          <c:w val="0.80525084772463495"/>
          <c:h val="0.61507237880886811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13197423984699619"/>
                  <c:y val="-0.395629505191389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0.0005828775L</a:t>
                    </a:r>
                    <a:r>
                      <a:rPr lang="en-US" baseline="30000"/>
                      <a:t>5</a:t>
                    </a:r>
                    <a:r>
                      <a:rPr lang="en-US" baseline="0"/>
                      <a:t> - 0.2170431836L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+ 32.2998196666L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- 2,401.2779715965L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+ 89,179.7707095229L - 1,323,592.2650382900</a:t>
                    </a:r>
                    <a:br>
                      <a:rPr lang="en-US" baseline="0"/>
                    </a:br>
                    <a:r>
                      <a:rPr lang="en-US" baseline="0"/>
                      <a:t>R² = 0.9612462175</a:t>
                    </a:r>
                    <a:endParaRPr lang="en-US"/>
                  </a:p>
                </c:rich>
              </c:tx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4-41F9-9305-5FC9818E11FC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B8-4845-89CC-B268AF400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90757192178909"/>
          <c:y val="0.87263523877697102"/>
          <c:w val="0.82305311930334135"/>
          <c:h val="0.10194989262705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93012137583665"/>
          <c:y val="8.5287025098237074E-2"/>
          <c:w val="0.83229088401109796"/>
          <c:h val="0.63244875956654922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9.8413806436106574E-2"/>
                  <c:y val="-0.45613416504755089"/>
                </c:manualLayout>
              </c:layout>
              <c:numFmt formatCode="#,##0.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8-4A24-961D-EE369CAB0EB4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6-439C-90B8-BF927635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768351368155955"/>
          <c:y val="0.86265609989506853"/>
          <c:w val="0.83923088578758454"/>
          <c:h val="0.1331097060330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2831259497523"/>
          <c:y val="5.7142857142857141E-2"/>
          <c:w val="0.82082000377101771"/>
          <c:h val="0.65050168728908886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768310373568125E-2"/>
                  <c:y val="-0.374200634011657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0.0257L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- 3.9395L + 152.54</a:t>
                    </a:r>
                    <a:br>
                      <a:rPr lang="en-US" baseline="0"/>
                    </a:br>
                    <a:r>
                      <a:rPr lang="en-US" baseline="0"/>
                      <a:t>R² = 0.833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D-4783-8E81-295C315EF26B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9D-4783-8E81-295C315EF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Third Order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92831259497523"/>
          <c:y val="5.7142857142857141E-2"/>
          <c:w val="0.82082000377101771"/>
          <c:h val="0.65050168728908886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F-4FED-8716-44F56AC3A05D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6F-4FED-8716-44F56AC3A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92831259497523"/>
          <c:y val="5.7142857142857141E-2"/>
          <c:w val="0.82082000377101771"/>
          <c:h val="0.65050168728908886"/>
        </c:manualLayout>
      </c:layout>
      <c:scatterChart>
        <c:scatterStyle val="lineMarker"/>
        <c:varyColors val="0"/>
        <c:ser>
          <c:idx val="0"/>
          <c:order val="0"/>
          <c:tx>
            <c:v>Training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1158024900361382"/>
                  <c:y val="-0.425439820022497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 = -0.00229644L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+ 0.67401438L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- 74.08968644L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+ 3,614.84595010L - 66,046.05233276</a:t>
                    </a:r>
                    <a:br>
                      <a:rPr lang="en-US" baseline="0"/>
                    </a:br>
                    <a:r>
                      <a:rPr lang="en-US" baseline="0"/>
                      <a:t>R² = 0.92627119</a:t>
                    </a:r>
                    <a:endParaRPr lang="en-US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order)'!$A$17:$A$76</c:f>
              <c:numCache>
                <c:formatCode>General</c:formatCode>
                <c:ptCount val="60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69.930000000000007</c:v>
                </c:pt>
                <c:pt idx="10">
                  <c:v>70.02</c:v>
                </c:pt>
                <c:pt idx="11">
                  <c:v>70.11</c:v>
                </c:pt>
                <c:pt idx="12">
                  <c:v>70.16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70.36</c:v>
                </c:pt>
                <c:pt idx="17">
                  <c:v>70.569999999999993</c:v>
                </c:pt>
                <c:pt idx="18">
                  <c:v>71</c:v>
                </c:pt>
                <c:pt idx="19">
                  <c:v>71.209999999999994</c:v>
                </c:pt>
                <c:pt idx="20">
                  <c:v>71.42</c:v>
                </c:pt>
                <c:pt idx="21">
                  <c:v>72.150000000000006</c:v>
                </c:pt>
                <c:pt idx="22">
                  <c:v>72.52</c:v>
                </c:pt>
                <c:pt idx="23">
                  <c:v>72.88</c:v>
                </c:pt>
                <c:pt idx="24">
                  <c:v>73.25</c:v>
                </c:pt>
                <c:pt idx="25">
                  <c:v>73.47</c:v>
                </c:pt>
                <c:pt idx="26">
                  <c:v>73.7</c:v>
                </c:pt>
                <c:pt idx="27">
                  <c:v>73.92</c:v>
                </c:pt>
                <c:pt idx="28">
                  <c:v>74.47</c:v>
                </c:pt>
                <c:pt idx="29">
                  <c:v>74.58</c:v>
                </c:pt>
                <c:pt idx="30">
                  <c:v>74.680000000000007</c:v>
                </c:pt>
                <c:pt idx="31">
                  <c:v>74.790000000000006</c:v>
                </c:pt>
                <c:pt idx="32">
                  <c:v>74.89</c:v>
                </c:pt>
                <c:pt idx="33">
                  <c:v>75.040000000000006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76.47</c:v>
                </c:pt>
                <c:pt idx="39">
                  <c:v>76.61</c:v>
                </c:pt>
                <c:pt idx="40">
                  <c:v>77.040000000000006</c:v>
                </c:pt>
                <c:pt idx="41">
                  <c:v>77.38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77.989999999999995</c:v>
                </c:pt>
                <c:pt idx="45">
                  <c:v>78.19</c:v>
                </c:pt>
                <c:pt idx="46">
                  <c:v>78.34</c:v>
                </c:pt>
                <c:pt idx="47">
                  <c:v>78.64</c:v>
                </c:pt>
                <c:pt idx="48">
                  <c:v>78.790000000000006</c:v>
                </c:pt>
                <c:pt idx="49">
                  <c:v>78.94</c:v>
                </c:pt>
                <c:pt idx="50">
                  <c:v>78.91</c:v>
                </c:pt>
                <c:pt idx="51">
                  <c:v>78.89</c:v>
                </c:pt>
                <c:pt idx="52">
                  <c:v>78.86</c:v>
                </c:pt>
                <c:pt idx="53">
                  <c:v>78.84</c:v>
                </c:pt>
                <c:pt idx="54">
                  <c:v>78.81</c:v>
                </c:pt>
                <c:pt idx="55">
                  <c:v>78.87</c:v>
                </c:pt>
                <c:pt idx="56">
                  <c:v>78.930000000000007</c:v>
                </c:pt>
                <c:pt idx="57">
                  <c:v>78.989999999999995</c:v>
                </c:pt>
                <c:pt idx="58">
                  <c:v>79.05</c:v>
                </c:pt>
                <c:pt idx="59">
                  <c:v>79.11</c:v>
                </c:pt>
              </c:numCache>
            </c:numRef>
          </c:xVal>
          <c:yVal>
            <c:numRef>
              <c:f>'Random 25% (1-6th order)'!$B$17:$B$76</c:f>
              <c:numCache>
                <c:formatCode>General</c:formatCode>
                <c:ptCount val="60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3.419</c:v>
                </c:pt>
                <c:pt idx="6">
                  <c:v>3.4740000000000002</c:v>
                </c:pt>
                <c:pt idx="7">
                  <c:v>3.528</c:v>
                </c:pt>
                <c:pt idx="8">
                  <c:v>3.5819999999999999</c:v>
                </c:pt>
                <c:pt idx="9">
                  <c:v>3.3730000000000002</c:v>
                </c:pt>
                <c:pt idx="10">
                  <c:v>3.3039999999999998</c:v>
                </c:pt>
                <c:pt idx="11">
                  <c:v>3.234</c:v>
                </c:pt>
                <c:pt idx="12">
                  <c:v>3.0960000000000001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2.5430000000000001</c:v>
                </c:pt>
                <c:pt idx="17">
                  <c:v>2.44</c:v>
                </c:pt>
                <c:pt idx="18">
                  <c:v>2.2349999999999999</c:v>
                </c:pt>
                <c:pt idx="19">
                  <c:v>2.1320000000000001</c:v>
                </c:pt>
                <c:pt idx="20">
                  <c:v>2.0289999999999999</c:v>
                </c:pt>
                <c:pt idx="21">
                  <c:v>1.9259999999999999</c:v>
                </c:pt>
                <c:pt idx="22">
                  <c:v>1.875</c:v>
                </c:pt>
                <c:pt idx="23">
                  <c:v>1.823</c:v>
                </c:pt>
                <c:pt idx="24">
                  <c:v>1.772</c:v>
                </c:pt>
                <c:pt idx="25">
                  <c:v>1.778</c:v>
                </c:pt>
                <c:pt idx="26">
                  <c:v>1.7849999999999999</c:v>
                </c:pt>
                <c:pt idx="27">
                  <c:v>1.7909999999999999</c:v>
                </c:pt>
                <c:pt idx="28">
                  <c:v>1.8260000000000001</c:v>
                </c:pt>
                <c:pt idx="29">
                  <c:v>1.8480000000000001</c:v>
                </c:pt>
                <c:pt idx="30">
                  <c:v>1.871</c:v>
                </c:pt>
                <c:pt idx="31">
                  <c:v>1.893</c:v>
                </c:pt>
                <c:pt idx="32">
                  <c:v>1.915</c:v>
                </c:pt>
                <c:pt idx="33">
                  <c:v>1.9379999999999999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1.996</c:v>
                </c:pt>
                <c:pt idx="39">
                  <c:v>2.0049999999999999</c:v>
                </c:pt>
                <c:pt idx="40">
                  <c:v>2.0329999999999999</c:v>
                </c:pt>
                <c:pt idx="41">
                  <c:v>2.0449999999999999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2.052</c:v>
                </c:pt>
                <c:pt idx="45">
                  <c:v>2.0550000000000002</c:v>
                </c:pt>
                <c:pt idx="46">
                  <c:v>2.0190000000000001</c:v>
                </c:pt>
                <c:pt idx="47">
                  <c:v>1.9470000000000001</c:v>
                </c:pt>
                <c:pt idx="48">
                  <c:v>1.911</c:v>
                </c:pt>
                <c:pt idx="49">
                  <c:v>1.875</c:v>
                </c:pt>
                <c:pt idx="50">
                  <c:v>1.855</c:v>
                </c:pt>
                <c:pt idx="51">
                  <c:v>1.835</c:v>
                </c:pt>
                <c:pt idx="52">
                  <c:v>1.8160000000000001</c:v>
                </c:pt>
                <c:pt idx="53">
                  <c:v>1.796</c:v>
                </c:pt>
                <c:pt idx="54">
                  <c:v>1.776</c:v>
                </c:pt>
                <c:pt idx="55">
                  <c:v>1.778</c:v>
                </c:pt>
                <c:pt idx="56">
                  <c:v>1.7789999999999999</c:v>
                </c:pt>
                <c:pt idx="57">
                  <c:v>1.7809999999999999</c:v>
                </c:pt>
                <c:pt idx="58">
                  <c:v>1.782</c:v>
                </c:pt>
                <c:pt idx="59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CB-428D-87DC-5D76AD485338}"/>
            </c:ext>
          </c:extLst>
        </c:ser>
        <c:ser>
          <c:idx val="1"/>
          <c:order val="1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'Random 25% (1-6th order)'!$A$2:$A$15</c:f>
              <c:numCache>
                <c:formatCode>General</c:formatCode>
                <c:ptCount val="14"/>
                <c:pt idx="0">
                  <c:v>69.75</c:v>
                </c:pt>
                <c:pt idx="1">
                  <c:v>69.84</c:v>
                </c:pt>
                <c:pt idx="2">
                  <c:v>70.78</c:v>
                </c:pt>
                <c:pt idx="3">
                  <c:v>71.790000000000006</c:v>
                </c:pt>
                <c:pt idx="4">
                  <c:v>74.150000000000006</c:v>
                </c:pt>
                <c:pt idx="5">
                  <c:v>74.37</c:v>
                </c:pt>
                <c:pt idx="6">
                  <c:v>75.19</c:v>
                </c:pt>
                <c:pt idx="7">
                  <c:v>75.349999999999994</c:v>
                </c:pt>
                <c:pt idx="8">
                  <c:v>75.98</c:v>
                </c:pt>
                <c:pt idx="9">
                  <c:v>76.31</c:v>
                </c:pt>
                <c:pt idx="10">
                  <c:v>76.75</c:v>
                </c:pt>
                <c:pt idx="11">
                  <c:v>76.900000000000006</c:v>
                </c:pt>
                <c:pt idx="12">
                  <c:v>77.180000000000007</c:v>
                </c:pt>
                <c:pt idx="13">
                  <c:v>78.489999999999995</c:v>
                </c:pt>
              </c:numCache>
            </c:numRef>
          </c:xVal>
          <c:yVal>
            <c:numRef>
              <c:f>'Random 25% (1-6th order)'!$B$2:$B$15</c:f>
              <c:numCache>
                <c:formatCode>General</c:formatCode>
                <c:ptCount val="14"/>
                <c:pt idx="0">
                  <c:v>3.512</c:v>
                </c:pt>
                <c:pt idx="1">
                  <c:v>3.4430000000000001</c:v>
                </c:pt>
                <c:pt idx="2">
                  <c:v>2.3370000000000002</c:v>
                </c:pt>
                <c:pt idx="3">
                  <c:v>1.978</c:v>
                </c:pt>
                <c:pt idx="4">
                  <c:v>1.798</c:v>
                </c:pt>
                <c:pt idx="5">
                  <c:v>1.804</c:v>
                </c:pt>
                <c:pt idx="6">
                  <c:v>1.9610000000000001</c:v>
                </c:pt>
                <c:pt idx="7">
                  <c:v>1.984</c:v>
                </c:pt>
                <c:pt idx="8">
                  <c:v>2.016</c:v>
                </c:pt>
                <c:pt idx="9">
                  <c:v>2.0030000000000001</c:v>
                </c:pt>
                <c:pt idx="10">
                  <c:v>2.0139999999999998</c:v>
                </c:pt>
                <c:pt idx="11">
                  <c:v>2.024</c:v>
                </c:pt>
                <c:pt idx="12">
                  <c:v>2.0419999999999998</c:v>
                </c:pt>
                <c:pt idx="13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CB-428D-87DC-5D76AD48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917979002624671E-2"/>
                  <c:y val="-0.27160870516185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0-438E-AAB5-1164480E3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2nd Degree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8917979002624671E-2"/>
                  <c:y val="-0.271608705161854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D-4BA7-AD7B-F6B2E472D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4th Degree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4.367648626957981E-2"/>
                  <c:y val="-0.38633316290009201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63-4152-BD93-29DA2171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5th Degree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7.1662594854348893E-2"/>
                  <c:y val="-0.35566785969935577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49-40DB-8C5F-E70451877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6th Degree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9.9798968464651139E-2"/>
                  <c:y val="-0.40637447591778303"/>
                </c:manualLayout>
              </c:layout>
              <c:numFmt formatCode="#,##0.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A-4A3F-A01A-62E7C110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3rd Degree Polynomial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7.3095206333869331E-2"/>
                  <c:y val="-0.38216816802723258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'Random 25% (1-6th order) (2)'!$A$21:$A$76</c:f>
              <c:numCache>
                <c:formatCode>General</c:formatCode>
                <c:ptCount val="56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69.28</c:v>
                </c:pt>
                <c:pt idx="6">
                  <c:v>69.47</c:v>
                </c:pt>
                <c:pt idx="7">
                  <c:v>69.66</c:v>
                </c:pt>
                <c:pt idx="8">
                  <c:v>69.75</c:v>
                </c:pt>
                <c:pt idx="9">
                  <c:v>69.84</c:v>
                </c:pt>
                <c:pt idx="10">
                  <c:v>69.930000000000007</c:v>
                </c:pt>
                <c:pt idx="11">
                  <c:v>70.02</c:v>
                </c:pt>
                <c:pt idx="12">
                  <c:v>70.11</c:v>
                </c:pt>
                <c:pt idx="13">
                  <c:v>70.209999999999994</c:v>
                </c:pt>
                <c:pt idx="14">
                  <c:v>70.260000000000005</c:v>
                </c:pt>
                <c:pt idx="15">
                  <c:v>70.31</c:v>
                </c:pt>
                <c:pt idx="16">
                  <c:v>70.569999999999993</c:v>
                </c:pt>
                <c:pt idx="17">
                  <c:v>71</c:v>
                </c:pt>
                <c:pt idx="18">
                  <c:v>71.209999999999994</c:v>
                </c:pt>
                <c:pt idx="19">
                  <c:v>71.42</c:v>
                </c:pt>
                <c:pt idx="20">
                  <c:v>71.790000000000006</c:v>
                </c:pt>
                <c:pt idx="21">
                  <c:v>72.150000000000006</c:v>
                </c:pt>
                <c:pt idx="22">
                  <c:v>72.88</c:v>
                </c:pt>
                <c:pt idx="23">
                  <c:v>73.25</c:v>
                </c:pt>
                <c:pt idx="24">
                  <c:v>73.47</c:v>
                </c:pt>
                <c:pt idx="25">
                  <c:v>73.7</c:v>
                </c:pt>
                <c:pt idx="26">
                  <c:v>74.150000000000006</c:v>
                </c:pt>
                <c:pt idx="27">
                  <c:v>74.37</c:v>
                </c:pt>
                <c:pt idx="28">
                  <c:v>74.58</c:v>
                </c:pt>
                <c:pt idx="29">
                  <c:v>74.790000000000006</c:v>
                </c:pt>
                <c:pt idx="30">
                  <c:v>74.89</c:v>
                </c:pt>
                <c:pt idx="31">
                  <c:v>75.040000000000006</c:v>
                </c:pt>
                <c:pt idx="32">
                  <c:v>75.19</c:v>
                </c:pt>
                <c:pt idx="33">
                  <c:v>75.349999999999994</c:v>
                </c:pt>
                <c:pt idx="34">
                  <c:v>75.5</c:v>
                </c:pt>
                <c:pt idx="35">
                  <c:v>75.650000000000006</c:v>
                </c:pt>
                <c:pt idx="36">
                  <c:v>75.81</c:v>
                </c:pt>
                <c:pt idx="37">
                  <c:v>76.14</c:v>
                </c:pt>
                <c:pt idx="38">
                  <c:v>76.31</c:v>
                </c:pt>
                <c:pt idx="39">
                  <c:v>76.47</c:v>
                </c:pt>
                <c:pt idx="40">
                  <c:v>76.900000000000006</c:v>
                </c:pt>
                <c:pt idx="41">
                  <c:v>77.180000000000007</c:v>
                </c:pt>
                <c:pt idx="42">
                  <c:v>77.58</c:v>
                </c:pt>
                <c:pt idx="43">
                  <c:v>77.790000000000006</c:v>
                </c:pt>
                <c:pt idx="44">
                  <c:v>78.34</c:v>
                </c:pt>
                <c:pt idx="45">
                  <c:v>78.489999999999995</c:v>
                </c:pt>
                <c:pt idx="46">
                  <c:v>78.64</c:v>
                </c:pt>
                <c:pt idx="47">
                  <c:v>78.790000000000006</c:v>
                </c:pt>
                <c:pt idx="48">
                  <c:v>78.91</c:v>
                </c:pt>
                <c:pt idx="49">
                  <c:v>78.89</c:v>
                </c:pt>
                <c:pt idx="50">
                  <c:v>78.81</c:v>
                </c:pt>
                <c:pt idx="51">
                  <c:v>78.87</c:v>
                </c:pt>
                <c:pt idx="52">
                  <c:v>78.930000000000007</c:v>
                </c:pt>
                <c:pt idx="53">
                  <c:v>78.989999999999995</c:v>
                </c:pt>
                <c:pt idx="54">
                  <c:v>79.05</c:v>
                </c:pt>
                <c:pt idx="55">
                  <c:v>79.11</c:v>
                </c:pt>
              </c:numCache>
            </c:numRef>
          </c:xVal>
          <c:yVal>
            <c:numRef>
              <c:f>'Random 25% (1-6th order) (2)'!$B$21:$B$76</c:f>
              <c:numCache>
                <c:formatCode>General</c:formatCode>
                <c:ptCount val="56"/>
                <c:pt idx="0">
                  <c:v>3.1480000000000001</c:v>
                </c:pt>
                <c:pt idx="1">
                  <c:v>3.2029999999999998</c:v>
                </c:pt>
                <c:pt idx="2">
                  <c:v>3.2570000000000001</c:v>
                </c:pt>
                <c:pt idx="3">
                  <c:v>3.3109999999999999</c:v>
                </c:pt>
                <c:pt idx="4">
                  <c:v>3.3650000000000002</c:v>
                </c:pt>
                <c:pt idx="5">
                  <c:v>3.4740000000000002</c:v>
                </c:pt>
                <c:pt idx="6">
                  <c:v>3.528</c:v>
                </c:pt>
                <c:pt idx="7">
                  <c:v>3.5819999999999999</c:v>
                </c:pt>
                <c:pt idx="8">
                  <c:v>3.512</c:v>
                </c:pt>
                <c:pt idx="9">
                  <c:v>3.4430000000000001</c:v>
                </c:pt>
                <c:pt idx="10">
                  <c:v>3.3730000000000002</c:v>
                </c:pt>
                <c:pt idx="11">
                  <c:v>3.3039999999999998</c:v>
                </c:pt>
                <c:pt idx="12">
                  <c:v>3.234</c:v>
                </c:pt>
                <c:pt idx="13">
                  <c:v>2.9580000000000002</c:v>
                </c:pt>
                <c:pt idx="14">
                  <c:v>2.819</c:v>
                </c:pt>
                <c:pt idx="15">
                  <c:v>2.681</c:v>
                </c:pt>
                <c:pt idx="16">
                  <c:v>2.44</c:v>
                </c:pt>
                <c:pt idx="17">
                  <c:v>2.2349999999999999</c:v>
                </c:pt>
                <c:pt idx="18">
                  <c:v>2.1320000000000001</c:v>
                </c:pt>
                <c:pt idx="19">
                  <c:v>2.0289999999999999</c:v>
                </c:pt>
                <c:pt idx="20">
                  <c:v>1.978</c:v>
                </c:pt>
                <c:pt idx="21">
                  <c:v>1.9259999999999999</c:v>
                </c:pt>
                <c:pt idx="22">
                  <c:v>1.823</c:v>
                </c:pt>
                <c:pt idx="23">
                  <c:v>1.772</c:v>
                </c:pt>
                <c:pt idx="24">
                  <c:v>1.778</c:v>
                </c:pt>
                <c:pt idx="25">
                  <c:v>1.7849999999999999</c:v>
                </c:pt>
                <c:pt idx="26">
                  <c:v>1.798</c:v>
                </c:pt>
                <c:pt idx="27">
                  <c:v>1.804</c:v>
                </c:pt>
                <c:pt idx="28">
                  <c:v>1.8480000000000001</c:v>
                </c:pt>
                <c:pt idx="29">
                  <c:v>1.893</c:v>
                </c:pt>
                <c:pt idx="30">
                  <c:v>1.915</c:v>
                </c:pt>
                <c:pt idx="31">
                  <c:v>1.9379999999999999</c:v>
                </c:pt>
                <c:pt idx="32">
                  <c:v>1.9610000000000001</c:v>
                </c:pt>
                <c:pt idx="33">
                  <c:v>1.984</c:v>
                </c:pt>
                <c:pt idx="34">
                  <c:v>2.0070000000000001</c:v>
                </c:pt>
                <c:pt idx="35">
                  <c:v>2.0299999999999998</c:v>
                </c:pt>
                <c:pt idx="36">
                  <c:v>2.0230000000000001</c:v>
                </c:pt>
                <c:pt idx="37">
                  <c:v>2.0099999999999998</c:v>
                </c:pt>
                <c:pt idx="38">
                  <c:v>2.0030000000000001</c:v>
                </c:pt>
                <c:pt idx="39">
                  <c:v>1.996</c:v>
                </c:pt>
                <c:pt idx="40">
                  <c:v>2.024</c:v>
                </c:pt>
                <c:pt idx="41">
                  <c:v>2.0419999999999998</c:v>
                </c:pt>
                <c:pt idx="42">
                  <c:v>2.0470000000000002</c:v>
                </c:pt>
                <c:pt idx="43">
                  <c:v>2.0499999999999998</c:v>
                </c:pt>
                <c:pt idx="44">
                  <c:v>2.0190000000000001</c:v>
                </c:pt>
                <c:pt idx="45">
                  <c:v>1.9830000000000001</c:v>
                </c:pt>
                <c:pt idx="46">
                  <c:v>1.9470000000000001</c:v>
                </c:pt>
                <c:pt idx="47">
                  <c:v>1.911</c:v>
                </c:pt>
                <c:pt idx="48">
                  <c:v>1.855</c:v>
                </c:pt>
                <c:pt idx="49">
                  <c:v>1.835</c:v>
                </c:pt>
                <c:pt idx="50">
                  <c:v>1.776</c:v>
                </c:pt>
                <c:pt idx="51">
                  <c:v>1.778</c:v>
                </c:pt>
                <c:pt idx="52">
                  <c:v>1.7789999999999999</c:v>
                </c:pt>
                <c:pt idx="53">
                  <c:v>1.7809999999999999</c:v>
                </c:pt>
                <c:pt idx="54">
                  <c:v>1.782</c:v>
                </c:pt>
                <c:pt idx="55">
                  <c:v>1.784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6-4AE3-B8F2-D939E01B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288352"/>
        <c:axId val="2131935264"/>
      </c:scatterChart>
      <c:valAx>
        <c:axId val="953288352"/>
        <c:scaling>
          <c:orientation val="minMax"/>
          <c:max val="80"/>
          <c:min val="6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35264"/>
        <c:crosses val="autoZero"/>
        <c:crossBetween val="midCat"/>
      </c:valAx>
      <c:valAx>
        <c:axId val="2131935264"/>
        <c:scaling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Fertility Rate</a:t>
                </a:r>
                <a:r>
                  <a:rPr lang="en-US" baseline="0"/>
                  <a:t> per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'Residuals for Linear'!$K$1</c:f>
              <c:strCache>
                <c:ptCount val="1"/>
                <c:pt idx="0">
                  <c:v>Residuals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'Residuals for Linear'!$A$2:$A$75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'Residuals for Linear'!$K$2:$K$75</c:f>
              <c:numCache>
                <c:formatCode>General</c:formatCode>
                <c:ptCount val="74"/>
                <c:pt idx="0">
                  <c:v>-7.1951967838023823E-2</c:v>
                </c:pt>
                <c:pt idx="1">
                  <c:v>-0.15191764390730755</c:v>
                </c:pt>
                <c:pt idx="2">
                  <c:v>-0.23088331997659362</c:v>
                </c:pt>
                <c:pt idx="3">
                  <c:v>-0.30984899604587746</c:v>
                </c:pt>
                <c:pt idx="4">
                  <c:v>-0.38881467211516352</c:v>
                </c:pt>
                <c:pt idx="5">
                  <c:v>-0.46778034818444736</c:v>
                </c:pt>
                <c:pt idx="6">
                  <c:v>-0.54774602425373153</c:v>
                </c:pt>
                <c:pt idx="7">
                  <c:v>-0.62671170032301537</c:v>
                </c:pt>
                <c:pt idx="8">
                  <c:v>-0.70567737639229922</c:v>
                </c:pt>
                <c:pt idx="9">
                  <c:v>-0.64750322295143503</c:v>
                </c:pt>
                <c:pt idx="10">
                  <c:v>-0.59032906951056896</c:v>
                </c:pt>
                <c:pt idx="11">
                  <c:v>-0.53215491606970478</c:v>
                </c:pt>
                <c:pt idx="12">
                  <c:v>-0.47498076262883826</c:v>
                </c:pt>
                <c:pt idx="13">
                  <c:v>-0.41680660918797408</c:v>
                </c:pt>
                <c:pt idx="14">
                  <c:v>-0.28537652394304835</c:v>
                </c:pt>
                <c:pt idx="15">
                  <c:v>-0.15394643869812263</c:v>
                </c:pt>
                <c:pt idx="16">
                  <c:v>-2.1516353453198356E-2</c:v>
                </c:pt>
                <c:pt idx="17">
                  <c:v>0.10991373179172736</c:v>
                </c:pt>
                <c:pt idx="18">
                  <c:v>0.24134381703665131</c:v>
                </c:pt>
                <c:pt idx="19">
                  <c:v>0.31675017506533854</c:v>
                </c:pt>
                <c:pt idx="20">
                  <c:v>0.39215653309402354</c:v>
                </c:pt>
                <c:pt idx="21">
                  <c:v>0.46524890817169462</c:v>
                </c:pt>
                <c:pt idx="22">
                  <c:v>0.54065526620037963</c:v>
                </c:pt>
                <c:pt idx="23">
                  <c:v>0.61606162422906507</c:v>
                </c:pt>
                <c:pt idx="24">
                  <c:v>0.61844425504150968</c:v>
                </c:pt>
                <c:pt idx="25">
                  <c:v>0.62314086880497244</c:v>
                </c:pt>
                <c:pt idx="26">
                  <c:v>0.62552349961741882</c:v>
                </c:pt>
                <c:pt idx="27">
                  <c:v>0.6302201133808798</c:v>
                </c:pt>
                <c:pt idx="28">
                  <c:v>0.63260274419332618</c:v>
                </c:pt>
                <c:pt idx="29">
                  <c:v>0.59769511927099694</c:v>
                </c:pt>
                <c:pt idx="30">
                  <c:v>0.56047351139765156</c:v>
                </c:pt>
                <c:pt idx="31">
                  <c:v>0.52556588647532232</c:v>
                </c:pt>
                <c:pt idx="32">
                  <c:v>0.48834427860197671</c:v>
                </c:pt>
                <c:pt idx="33">
                  <c:v>0.45343665367964747</c:v>
                </c:pt>
                <c:pt idx="34">
                  <c:v>0.41829682416949909</c:v>
                </c:pt>
                <c:pt idx="35">
                  <c:v>0.38184301170833446</c:v>
                </c:pt>
                <c:pt idx="36">
                  <c:v>0.34570318219818441</c:v>
                </c:pt>
                <c:pt idx="37">
                  <c:v>0.30924936973701977</c:v>
                </c:pt>
                <c:pt idx="38">
                  <c:v>0.27410954022686962</c:v>
                </c:pt>
                <c:pt idx="39">
                  <c:v>0.23139979596164539</c:v>
                </c:pt>
                <c:pt idx="40">
                  <c:v>0.18869005169642095</c:v>
                </c:pt>
                <c:pt idx="41">
                  <c:v>0.14466632448018224</c:v>
                </c:pt>
                <c:pt idx="42">
                  <c:v>0.10195658021495602</c:v>
                </c:pt>
                <c:pt idx="43">
                  <c:v>5.9246835949732013E-2</c:v>
                </c:pt>
                <c:pt idx="44">
                  <c:v>4.5223108733492889E-2</c:v>
                </c:pt>
                <c:pt idx="45">
                  <c:v>2.9885398566237953E-2</c:v>
                </c:pt>
                <c:pt idx="46">
                  <c:v>1.4861671349999384E-2</c:v>
                </c:pt>
                <c:pt idx="47">
                  <c:v>-4.7603881725599706E-4</c:v>
                </c:pt>
                <c:pt idx="48">
                  <c:v>-1.4499766033494677E-2</c:v>
                </c:pt>
                <c:pt idx="49">
                  <c:v>-4.1895527347704409E-2</c:v>
                </c:pt>
                <c:pt idx="50">
                  <c:v>-6.9291288661914141E-2</c:v>
                </c:pt>
                <c:pt idx="51">
                  <c:v>-9.9001032927140464E-2</c:v>
                </c:pt>
                <c:pt idx="52">
                  <c:v>-0.12639679424134842</c:v>
                </c:pt>
                <c:pt idx="53">
                  <c:v>-0.15379255555555815</c:v>
                </c:pt>
                <c:pt idx="54">
                  <c:v>-0.18307221457585676</c:v>
                </c:pt>
                <c:pt idx="55">
                  <c:v>-0.21135187359615726</c:v>
                </c:pt>
                <c:pt idx="56">
                  <c:v>-0.24194551556747168</c:v>
                </c:pt>
                <c:pt idx="57">
                  <c:v>-0.2702251745877704</c:v>
                </c:pt>
                <c:pt idx="58">
                  <c:v>-0.29950483360807079</c:v>
                </c:pt>
                <c:pt idx="59">
                  <c:v>-0.28321457787329507</c:v>
                </c:pt>
                <c:pt idx="60">
                  <c:v>-0.26692432213851935</c:v>
                </c:pt>
                <c:pt idx="61">
                  <c:v>-0.25063406640374364</c:v>
                </c:pt>
                <c:pt idx="62">
                  <c:v>-0.2343438106689697</c:v>
                </c:pt>
                <c:pt idx="63">
                  <c:v>-0.21805355493419221</c:v>
                </c:pt>
                <c:pt idx="64">
                  <c:v>-0.19411160608114697</c:v>
                </c:pt>
                <c:pt idx="65">
                  <c:v>-0.17148364017911799</c:v>
                </c:pt>
                <c:pt idx="66">
                  <c:v>-0.14854169132607287</c:v>
                </c:pt>
                <c:pt idx="67">
                  <c:v>-0.12591372542404389</c:v>
                </c:pt>
                <c:pt idx="68">
                  <c:v>-0.10197177657099865</c:v>
                </c:pt>
                <c:pt idx="69">
                  <c:v>-0.11185567427708909</c:v>
                </c:pt>
                <c:pt idx="70">
                  <c:v>-0.12073957198317942</c:v>
                </c:pt>
                <c:pt idx="71">
                  <c:v>-0.1306234696892663</c:v>
                </c:pt>
                <c:pt idx="72">
                  <c:v>-0.13950736739535685</c:v>
                </c:pt>
                <c:pt idx="73">
                  <c:v>-0.14939126510144729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8-47CF-9F88-8B238F11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16175"/>
        <c:axId val="1468600383"/>
      </c:scatterChart>
      <c:valAx>
        <c:axId val="166041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 for linear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600383"/>
        <c:crosses val="autoZero"/>
        <c:crossBetween val="midCat"/>
      </c:valAx>
      <c:valAx>
        <c:axId val="1468600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1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'Residual for 6th order'!$A$2:$A$75</c:f>
              <c:numCache>
                <c:formatCode>General</c:formatCode>
                <c:ptCount val="74"/>
                <c:pt idx="0">
                  <c:v>68.14</c:v>
                </c:pt>
                <c:pt idx="1">
                  <c:v>68.33</c:v>
                </c:pt>
                <c:pt idx="2">
                  <c:v>68.52</c:v>
                </c:pt>
                <c:pt idx="3">
                  <c:v>68.709999999999994</c:v>
                </c:pt>
                <c:pt idx="4">
                  <c:v>68.900000000000006</c:v>
                </c:pt>
                <c:pt idx="5">
                  <c:v>69.09</c:v>
                </c:pt>
                <c:pt idx="6">
                  <c:v>69.28</c:v>
                </c:pt>
                <c:pt idx="7">
                  <c:v>69.47</c:v>
                </c:pt>
                <c:pt idx="8">
                  <c:v>69.66</c:v>
                </c:pt>
                <c:pt idx="9">
                  <c:v>69.75</c:v>
                </c:pt>
                <c:pt idx="10">
                  <c:v>69.84</c:v>
                </c:pt>
                <c:pt idx="11">
                  <c:v>69.930000000000007</c:v>
                </c:pt>
                <c:pt idx="12">
                  <c:v>70.02</c:v>
                </c:pt>
                <c:pt idx="13">
                  <c:v>70.11</c:v>
                </c:pt>
                <c:pt idx="14">
                  <c:v>70.16</c:v>
                </c:pt>
                <c:pt idx="15">
                  <c:v>70.209999999999994</c:v>
                </c:pt>
                <c:pt idx="16">
                  <c:v>70.260000000000005</c:v>
                </c:pt>
                <c:pt idx="17">
                  <c:v>70.31</c:v>
                </c:pt>
                <c:pt idx="18">
                  <c:v>70.36</c:v>
                </c:pt>
                <c:pt idx="19">
                  <c:v>70.569999999999993</c:v>
                </c:pt>
                <c:pt idx="20">
                  <c:v>70.78</c:v>
                </c:pt>
                <c:pt idx="21">
                  <c:v>71</c:v>
                </c:pt>
                <c:pt idx="22">
                  <c:v>71.209999999999994</c:v>
                </c:pt>
                <c:pt idx="23">
                  <c:v>71.42</c:v>
                </c:pt>
                <c:pt idx="24">
                  <c:v>71.790000000000006</c:v>
                </c:pt>
                <c:pt idx="25">
                  <c:v>72.150000000000006</c:v>
                </c:pt>
                <c:pt idx="26">
                  <c:v>72.52</c:v>
                </c:pt>
                <c:pt idx="27">
                  <c:v>72.88</c:v>
                </c:pt>
                <c:pt idx="28">
                  <c:v>73.25</c:v>
                </c:pt>
                <c:pt idx="29">
                  <c:v>73.47</c:v>
                </c:pt>
                <c:pt idx="30">
                  <c:v>73.7</c:v>
                </c:pt>
                <c:pt idx="31">
                  <c:v>73.92</c:v>
                </c:pt>
                <c:pt idx="32">
                  <c:v>74.150000000000006</c:v>
                </c:pt>
                <c:pt idx="33">
                  <c:v>74.37</c:v>
                </c:pt>
                <c:pt idx="34">
                  <c:v>74.47</c:v>
                </c:pt>
                <c:pt idx="35">
                  <c:v>74.58</c:v>
                </c:pt>
                <c:pt idx="36">
                  <c:v>74.680000000000007</c:v>
                </c:pt>
                <c:pt idx="37">
                  <c:v>74.790000000000006</c:v>
                </c:pt>
                <c:pt idx="38">
                  <c:v>74.89</c:v>
                </c:pt>
                <c:pt idx="39">
                  <c:v>75.040000000000006</c:v>
                </c:pt>
                <c:pt idx="40">
                  <c:v>75.19</c:v>
                </c:pt>
                <c:pt idx="41">
                  <c:v>75.349999999999994</c:v>
                </c:pt>
                <c:pt idx="42">
                  <c:v>75.5</c:v>
                </c:pt>
                <c:pt idx="43">
                  <c:v>75.650000000000006</c:v>
                </c:pt>
                <c:pt idx="44">
                  <c:v>75.81</c:v>
                </c:pt>
                <c:pt idx="45">
                  <c:v>75.98</c:v>
                </c:pt>
                <c:pt idx="46">
                  <c:v>76.14</c:v>
                </c:pt>
                <c:pt idx="47">
                  <c:v>76.31</c:v>
                </c:pt>
                <c:pt idx="48">
                  <c:v>76.47</c:v>
                </c:pt>
                <c:pt idx="49">
                  <c:v>76.61</c:v>
                </c:pt>
                <c:pt idx="50">
                  <c:v>76.75</c:v>
                </c:pt>
                <c:pt idx="51">
                  <c:v>76.900000000000006</c:v>
                </c:pt>
                <c:pt idx="52">
                  <c:v>77.040000000000006</c:v>
                </c:pt>
                <c:pt idx="53">
                  <c:v>77.180000000000007</c:v>
                </c:pt>
                <c:pt idx="54">
                  <c:v>77.38</c:v>
                </c:pt>
                <c:pt idx="55">
                  <c:v>77.58</c:v>
                </c:pt>
                <c:pt idx="56">
                  <c:v>77.790000000000006</c:v>
                </c:pt>
                <c:pt idx="57">
                  <c:v>77.989999999999995</c:v>
                </c:pt>
                <c:pt idx="58">
                  <c:v>78.19</c:v>
                </c:pt>
                <c:pt idx="59">
                  <c:v>78.34</c:v>
                </c:pt>
                <c:pt idx="60">
                  <c:v>78.489999999999995</c:v>
                </c:pt>
                <c:pt idx="61">
                  <c:v>78.64</c:v>
                </c:pt>
                <c:pt idx="62">
                  <c:v>78.790000000000006</c:v>
                </c:pt>
                <c:pt idx="63">
                  <c:v>78.94</c:v>
                </c:pt>
                <c:pt idx="64">
                  <c:v>78.91</c:v>
                </c:pt>
                <c:pt idx="65">
                  <c:v>78.89</c:v>
                </c:pt>
                <c:pt idx="66">
                  <c:v>78.86</c:v>
                </c:pt>
                <c:pt idx="67">
                  <c:v>78.84</c:v>
                </c:pt>
                <c:pt idx="68">
                  <c:v>78.81</c:v>
                </c:pt>
                <c:pt idx="69">
                  <c:v>78.87</c:v>
                </c:pt>
                <c:pt idx="70">
                  <c:v>78.930000000000007</c:v>
                </c:pt>
                <c:pt idx="71">
                  <c:v>78.989999999999995</c:v>
                </c:pt>
                <c:pt idx="72">
                  <c:v>79.05</c:v>
                </c:pt>
                <c:pt idx="73">
                  <c:v>79.11</c:v>
                </c:pt>
              </c:numCache>
            </c:numRef>
          </c:xVal>
          <c:yVal>
            <c:numRef>
              <c:f>'Residual for 6th order'!$J$2:$J$75</c:f>
              <c:numCache>
                <c:formatCode>General</c:formatCode>
                <c:ptCount val="74"/>
                <c:pt idx="0">
                  <c:v>0.28523055345172166</c:v>
                </c:pt>
                <c:pt idx="1">
                  <c:v>0.23407177089163467</c:v>
                </c:pt>
                <c:pt idx="2">
                  <c:v>0.16987454256520129</c:v>
                </c:pt>
                <c:pt idx="3">
                  <c:v>9.2968890979740593E-2</c:v>
                </c:pt>
                <c:pt idx="4">
                  <c:v>4.6511343005111172E-3</c:v>
                </c:pt>
                <c:pt idx="5">
                  <c:v>-9.381725489051318E-2</c:v>
                </c:pt>
                <c:pt idx="6">
                  <c:v>-0.20221080001449465</c:v>
                </c:pt>
                <c:pt idx="7">
                  <c:v>-0.31734117971220988</c:v>
                </c:pt>
                <c:pt idx="8">
                  <c:v>-0.43905839551519588</c:v>
                </c:pt>
                <c:pt idx="9">
                  <c:v>-0.40311285283433973</c:v>
                </c:pt>
                <c:pt idx="10">
                  <c:v>-0.36928061659343081</c:v>
                </c:pt>
                <c:pt idx="11">
                  <c:v>-0.33544889725858251</c:v>
                </c:pt>
                <c:pt idx="12">
                  <c:v>-0.30350701056877716</c:v>
                </c:pt>
                <c:pt idx="13">
                  <c:v>-0.2713464058866375</c:v>
                </c:pt>
                <c:pt idx="14">
                  <c:v>-0.15466663419874394</c:v>
                </c:pt>
                <c:pt idx="15">
                  <c:v>-3.8177173455013147E-2</c:v>
                </c:pt>
                <c:pt idx="16">
                  <c:v>7.9139716737205212E-2</c:v>
                </c:pt>
                <c:pt idx="17">
                  <c:v>0.19530156501472806</c:v>
                </c:pt>
                <c:pt idx="18">
                  <c:v>0.31132568666874416</c:v>
                </c:pt>
                <c:pt idx="19">
                  <c:v>0.32090502460647263</c:v>
                </c:pt>
                <c:pt idx="20">
                  <c:v>0.3295759884454017</c:v>
                </c:pt>
                <c:pt idx="21">
                  <c:v>0.3330387874672307</c:v>
                </c:pt>
                <c:pt idx="22">
                  <c:v>0.34337695102073473</c:v>
                </c:pt>
                <c:pt idx="23">
                  <c:v>0.3561028817516636</c:v>
                </c:pt>
                <c:pt idx="24">
                  <c:v>0.25665464523178527</c:v>
                </c:pt>
                <c:pt idx="25">
                  <c:v>0.17640745147166315</c:v>
                </c:pt>
                <c:pt idx="26">
                  <c:v>0.10965742426196812</c:v>
                </c:pt>
                <c:pt idx="27">
                  <c:v>6.7519025553658185E-2</c:v>
                </c:pt>
                <c:pt idx="28">
                  <c:v>4.4787847339583076E-2</c:v>
                </c:pt>
                <c:pt idx="29">
                  <c:v>6.5296040759421636E-3</c:v>
                </c:pt>
                <c:pt idx="30">
                  <c:v>-2.4808332618849738E-2</c:v>
                </c:pt>
                <c:pt idx="31">
                  <c:v>-4.5137159085075762E-2</c:v>
                </c:pt>
                <c:pt idx="32">
                  <c:v>-5.7926360457029702E-2</c:v>
                </c:pt>
                <c:pt idx="33">
                  <c:v>-6.096262473502434E-2</c:v>
                </c:pt>
                <c:pt idx="34">
                  <c:v>-7.8975363335281212E-2</c:v>
                </c:pt>
                <c:pt idx="35">
                  <c:v>-9.4759533292788634E-2</c:v>
                </c:pt>
                <c:pt idx="36">
                  <c:v>-0.11050319254072383</c:v>
                </c:pt>
                <c:pt idx="37">
                  <c:v>-0.12282821431651247</c:v>
                </c:pt>
                <c:pt idx="38">
                  <c:v>-0.13456467512063686</c:v>
                </c:pt>
                <c:pt idx="39">
                  <c:v>-0.13971006827149535</c:v>
                </c:pt>
                <c:pt idx="40">
                  <c:v>-0.14214332351251513</c:v>
                </c:pt>
                <c:pt idx="41">
                  <c:v>-0.14055091965891187</c:v>
                </c:pt>
                <c:pt idx="42">
                  <c:v>-0.1383538067697665</c:v>
                </c:pt>
                <c:pt idx="43">
                  <c:v>-0.13445215224171969</c:v>
                </c:pt>
                <c:pt idx="44">
                  <c:v>-9.7320829146017918E-2</c:v>
                </c:pt>
                <c:pt idx="45">
                  <c:v>-5.7249002097174539E-2</c:v>
                </c:pt>
                <c:pt idx="46">
                  <c:v>-1.9716775253764141E-2</c:v>
                </c:pt>
                <c:pt idx="47">
                  <c:v>2.0528082369011713E-2</c:v>
                </c:pt>
                <c:pt idx="48">
                  <c:v>5.7891460382146764E-2</c:v>
                </c:pt>
                <c:pt idx="49">
                  <c:v>7.4166964329488216E-2</c:v>
                </c:pt>
                <c:pt idx="50">
                  <c:v>8.8720521615992975E-2</c:v>
                </c:pt>
                <c:pt idx="51">
                  <c:v>0.10145463570859281</c:v>
                </c:pt>
                <c:pt idx="52">
                  <c:v>0.11075745128927528</c:v>
                </c:pt>
                <c:pt idx="53">
                  <c:v>0.11665611648769136</c:v>
                </c:pt>
                <c:pt idx="54">
                  <c:v>0.127832662552537</c:v>
                </c:pt>
                <c:pt idx="55">
                  <c:v>0.12996750280447289</c:v>
                </c:pt>
                <c:pt idx="56">
                  <c:v>0.11833750798105047</c:v>
                </c:pt>
                <c:pt idx="57">
                  <c:v>9.3576527982484503E-2</c:v>
                </c:pt>
                <c:pt idx="58">
                  <c:v>5.1367681721167013E-2</c:v>
                </c:pt>
                <c:pt idx="59">
                  <c:v>4.5758506377984176E-2</c:v>
                </c:pt>
                <c:pt idx="60">
                  <c:v>2.8540641993633376E-2</c:v>
                </c:pt>
                <c:pt idx="61">
                  <c:v>-1.3641772746924019E-3</c:v>
                </c:pt>
                <c:pt idx="62">
                  <c:v>-4.5075201560335731E-2</c:v>
                </c:pt>
                <c:pt idx="63">
                  <c:v>-0.10375315725104883</c:v>
                </c:pt>
                <c:pt idx="64">
                  <c:v>-6.3563090578536485E-2</c:v>
                </c:pt>
                <c:pt idx="65">
                  <c:v>-3.0457474816066643E-2</c:v>
                </c:pt>
                <c:pt idx="66">
                  <c:v>7.6764908215263272E-3</c:v>
                </c:pt>
                <c:pt idx="67">
                  <c:v>4.0086996299854905E-2</c:v>
                </c:pt>
                <c:pt idx="68">
                  <c:v>7.8191648817504733E-2</c:v>
                </c:pt>
                <c:pt idx="69">
                  <c:v>3.936795292817985E-2</c:v>
                </c:pt>
                <c:pt idx="70">
                  <c:v>-9.5176828972753924E-4</c:v>
                </c:pt>
                <c:pt idx="71">
                  <c:v>-4.4845115339790853E-2</c:v>
                </c:pt>
                <c:pt idx="72">
                  <c:v>-9.0390775113366573E-2</c:v>
                </c:pt>
                <c:pt idx="73">
                  <c:v>-0.13966852558986287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9-4F01-B090-047E5F477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850095"/>
        <c:axId val="1637996047"/>
      </c:scatterChart>
      <c:valAx>
        <c:axId val="149285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96047"/>
        <c:crosses val="autoZero"/>
        <c:crossBetween val="midCat"/>
      </c:valAx>
      <c:valAx>
        <c:axId val="16379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per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36672426363371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5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</xdr:colOff>
      <xdr:row>1</xdr:row>
      <xdr:rowOff>10969</xdr:rowOff>
    </xdr:from>
    <xdr:to>
      <xdr:col>10</xdr:col>
      <xdr:colOff>303357</xdr:colOff>
      <xdr:row>15</xdr:row>
      <xdr:rowOff>123537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E0334-27E5-9AFE-AF06-719BB147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6350</xdr:rowOff>
    </xdr:from>
    <xdr:to>
      <xdr:col>18</xdr:col>
      <xdr:colOff>302491</xdr:colOff>
      <xdr:row>15</xdr:row>
      <xdr:rowOff>118918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FBFE3-6654-4526-8EA9-A7A422B7C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302491</xdr:colOff>
      <xdr:row>30</xdr:row>
      <xdr:rowOff>74468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0EF15-DD42-4693-9F04-398FB3C8C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18</xdr:col>
      <xdr:colOff>302491</xdr:colOff>
      <xdr:row>30</xdr:row>
      <xdr:rowOff>74468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EEF9C5-D796-40F5-94F5-C59BD598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31</xdr:row>
      <xdr:rowOff>0</xdr:rowOff>
    </xdr:from>
    <xdr:to>
      <xdr:col>10</xdr:col>
      <xdr:colOff>302491</xdr:colOff>
      <xdr:row>45</xdr:row>
      <xdr:rowOff>74468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361779-E23A-482E-B943-61F7BEF8B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15875</xdr:colOff>
      <xdr:row>31</xdr:row>
      <xdr:rowOff>14817</xdr:rowOff>
    </xdr:from>
    <xdr:to>
      <xdr:col>18</xdr:col>
      <xdr:colOff>291042</xdr:colOff>
      <xdr:row>45</xdr:row>
      <xdr:rowOff>91017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DC79FA-58B1-20F2-BC51-DBD37ECCD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18</xdr:row>
      <xdr:rowOff>12700</xdr:rowOff>
    </xdr:from>
    <xdr:to>
      <xdr:col>10</xdr:col>
      <xdr:colOff>495300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1C7EE-1C0C-C7AF-36A8-2B653AA87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32544</xdr:colOff>
      <xdr:row>31</xdr:row>
      <xdr:rowOff>179387</xdr:rowOff>
    </xdr:from>
    <xdr:to>
      <xdr:col>18</xdr:col>
      <xdr:colOff>219869</xdr:colOff>
      <xdr:row>45</xdr:row>
      <xdr:rowOff>166686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3DAD30-2851-4038-A0B0-657D99005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382587</xdr:colOff>
      <xdr:row>31</xdr:row>
      <xdr:rowOff>142080</xdr:rowOff>
    </xdr:from>
    <xdr:to>
      <xdr:col>25</xdr:col>
      <xdr:colOff>412750</xdr:colOff>
      <xdr:row>45</xdr:row>
      <xdr:rowOff>182561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423C3F-5911-44EB-AB4D-E91A11C30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</xdr:colOff>
      <xdr:row>17</xdr:row>
      <xdr:rowOff>182562</xdr:rowOff>
    </xdr:from>
    <xdr:to>
      <xdr:col>18</xdr:col>
      <xdr:colOff>68262</xdr:colOff>
      <xdr:row>30</xdr:row>
      <xdr:rowOff>150812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E4774-5987-4849-BC85-D8982F043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322263</xdr:colOff>
      <xdr:row>30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DFCEB6-1924-44FA-BDC1-690C72BDD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261938</xdr:colOff>
      <xdr:row>32</xdr:row>
      <xdr:rowOff>7936</xdr:rowOff>
    </xdr:from>
    <xdr:to>
      <xdr:col>10</xdr:col>
      <xdr:colOff>449263</xdr:colOff>
      <xdr:row>45</xdr:row>
      <xdr:rowOff>158749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5E70A8-1775-4EA3-ADEE-59820A1DF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427038</xdr:colOff>
      <xdr:row>25</xdr:row>
      <xdr:rowOff>179387</xdr:rowOff>
    </xdr:from>
    <xdr:to>
      <xdr:col>11</xdr:col>
      <xdr:colOff>3176</xdr:colOff>
      <xdr:row>38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19DDF-4393-4658-9652-0AF8F0D03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119062</xdr:colOff>
      <xdr:row>26</xdr:row>
      <xdr:rowOff>0</xdr:rowOff>
    </xdr:from>
    <xdr:to>
      <xdr:col>18</xdr:col>
      <xdr:colOff>306387</xdr:colOff>
      <xdr:row>38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F474F-C25D-4B0B-B36C-B9C0B3222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444500</xdr:colOff>
      <xdr:row>39</xdr:row>
      <xdr:rowOff>75406</xdr:rowOff>
    </xdr:from>
    <xdr:to>
      <xdr:col>11</xdr:col>
      <xdr:colOff>20638</xdr:colOff>
      <xdr:row>52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37541-8768-4A46-BBB8-32A102A08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111918</xdr:colOff>
      <xdr:row>39</xdr:row>
      <xdr:rowOff>52388</xdr:rowOff>
    </xdr:from>
    <xdr:to>
      <xdr:col>18</xdr:col>
      <xdr:colOff>299243</xdr:colOff>
      <xdr:row>52</xdr:row>
      <xdr:rowOff>20638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66A87C-6D93-492F-B066-071BAD635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9525</xdr:colOff>
      <xdr:row>40</xdr:row>
      <xdr:rowOff>38893</xdr:rowOff>
    </xdr:from>
    <xdr:to>
      <xdr:col>25</xdr:col>
      <xdr:colOff>650875</xdr:colOff>
      <xdr:row>53</xdr:row>
      <xdr:rowOff>7143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2D45FE-9215-474E-AF9B-1966E55B9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564130</xdr:colOff>
      <xdr:row>26</xdr:row>
      <xdr:rowOff>24379</xdr:rowOff>
    </xdr:from>
    <xdr:to>
      <xdr:col>25</xdr:col>
      <xdr:colOff>596674</xdr:colOff>
      <xdr:row>38</xdr:row>
      <xdr:rowOff>183129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A1FBA-B33B-4914-9F96-F74AF467A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434975</xdr:colOff>
      <xdr:row>7</xdr:row>
      <xdr:rowOff>139700</xdr:rowOff>
    </xdr:from>
    <xdr:to>
      <xdr:col>19</xdr:col>
      <xdr:colOff>130175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28A5C-9488-9B6B-B5BC-A94649DB6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15875</xdr:colOff>
      <xdr:row>26</xdr:row>
      <xdr:rowOff>6350</xdr:rowOff>
    </xdr:from>
    <xdr:to>
      <xdr:col>18</xdr:col>
      <xdr:colOff>320675</xdr:colOff>
      <xdr:row>40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E653EC-3AA1-1A7C-BF2A-65B8636BC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C241-D419-4322-8DA7-BCFFA6F240E0}">
  <dimension ref="A1:B75"/>
  <sheetViews>
    <sheetView topLeftCell="A9" workbookViewId="0">
      <selection activeCell="F18" sqref="F18"/>
    </sheetView>
  </sheetViews>
  <sheetFormatPr defaultRowHeight="14.5" x14ac:dyDescent="0.35"/>
  <cols>
    <col min="1" max="1" width="21.1796875" style="3" bestFit="1" customWidth="1"/>
    <col min="2" max="2" width="18.7265625" style="2" bestFit="1" customWidth="1"/>
  </cols>
  <sheetData>
    <row r="1" spans="1:2" x14ac:dyDescent="0.35">
      <c r="A1" s="3" t="s">
        <v>0</v>
      </c>
      <c r="B1" s="2" t="s">
        <v>1</v>
      </c>
    </row>
    <row r="2" spans="1:2" x14ac:dyDescent="0.35">
      <c r="A2" s="3">
        <v>68.14</v>
      </c>
      <c r="B2" s="2">
        <v>3.1480000000000001</v>
      </c>
    </row>
    <row r="3" spans="1:2" x14ac:dyDescent="0.35">
      <c r="A3" s="3">
        <v>68.33</v>
      </c>
      <c r="B3" s="2">
        <v>3.2029999999999998</v>
      </c>
    </row>
    <row r="4" spans="1:2" x14ac:dyDescent="0.35">
      <c r="A4" s="3">
        <v>68.52</v>
      </c>
      <c r="B4" s="2">
        <v>3.2570000000000001</v>
      </c>
    </row>
    <row r="5" spans="1:2" x14ac:dyDescent="0.35">
      <c r="A5" s="3">
        <v>68.709999999999994</v>
      </c>
      <c r="B5" s="2">
        <v>3.3109999999999999</v>
      </c>
    </row>
    <row r="6" spans="1:2" x14ac:dyDescent="0.35">
      <c r="A6" s="3">
        <v>68.900000000000006</v>
      </c>
      <c r="B6" s="2">
        <v>3.3650000000000002</v>
      </c>
    </row>
    <row r="7" spans="1:2" x14ac:dyDescent="0.35">
      <c r="A7" s="3">
        <v>69.09</v>
      </c>
      <c r="B7" s="2">
        <v>3.419</v>
      </c>
    </row>
    <row r="8" spans="1:2" ht="15" thickBot="1" x14ac:dyDescent="0.4">
      <c r="A8" s="3">
        <v>69.28</v>
      </c>
      <c r="B8" s="2">
        <v>3.4740000000000002</v>
      </c>
    </row>
    <row r="9" spans="1:2" ht="15" thickBot="1" x14ac:dyDescent="0.4">
      <c r="A9" s="3">
        <v>69.47</v>
      </c>
      <c r="B9" s="1">
        <v>3.528</v>
      </c>
    </row>
    <row r="10" spans="1:2" ht="15" thickBot="1" x14ac:dyDescent="0.4">
      <c r="A10" s="3">
        <v>69.66</v>
      </c>
      <c r="B10" s="1">
        <v>3.5819999999999999</v>
      </c>
    </row>
    <row r="11" spans="1:2" ht="15" thickBot="1" x14ac:dyDescent="0.4">
      <c r="A11" s="3">
        <v>69.75</v>
      </c>
      <c r="B11" s="1">
        <v>3.512</v>
      </c>
    </row>
    <row r="12" spans="1:2" ht="15" thickBot="1" x14ac:dyDescent="0.4">
      <c r="A12" s="3">
        <v>69.84</v>
      </c>
      <c r="B12" s="1">
        <v>3.4430000000000001</v>
      </c>
    </row>
    <row r="13" spans="1:2" ht="15" thickBot="1" x14ac:dyDescent="0.4">
      <c r="A13" s="3">
        <v>69.930000000000007</v>
      </c>
      <c r="B13" s="1">
        <v>3.3730000000000002</v>
      </c>
    </row>
    <row r="14" spans="1:2" ht="15" thickBot="1" x14ac:dyDescent="0.4">
      <c r="A14" s="3">
        <v>70.02</v>
      </c>
      <c r="B14" s="1">
        <v>3.3039999999999998</v>
      </c>
    </row>
    <row r="15" spans="1:2" ht="15" thickBot="1" x14ac:dyDescent="0.4">
      <c r="A15" s="3">
        <v>70.11</v>
      </c>
      <c r="B15" s="1">
        <v>3.234</v>
      </c>
    </row>
    <row r="16" spans="1:2" ht="15" thickBot="1" x14ac:dyDescent="0.4">
      <c r="A16" s="3">
        <v>70.16</v>
      </c>
      <c r="B16" s="1">
        <v>3.0960000000000001</v>
      </c>
    </row>
    <row r="17" spans="1:2" ht="15" thickBot="1" x14ac:dyDescent="0.4">
      <c r="A17" s="3">
        <v>70.209999999999994</v>
      </c>
      <c r="B17" s="1">
        <v>2.9580000000000002</v>
      </c>
    </row>
    <row r="18" spans="1:2" ht="15" thickBot="1" x14ac:dyDescent="0.4">
      <c r="A18" s="3">
        <v>70.260000000000005</v>
      </c>
      <c r="B18" s="1">
        <v>2.819</v>
      </c>
    </row>
    <row r="19" spans="1:2" ht="15" thickBot="1" x14ac:dyDescent="0.4">
      <c r="A19" s="3">
        <v>70.31</v>
      </c>
      <c r="B19" s="1">
        <v>2.681</v>
      </c>
    </row>
    <row r="20" spans="1:2" ht="15" thickBot="1" x14ac:dyDescent="0.4">
      <c r="A20" s="3">
        <v>70.36</v>
      </c>
      <c r="B20" s="1">
        <v>2.5430000000000001</v>
      </c>
    </row>
    <row r="21" spans="1:2" ht="15" thickBot="1" x14ac:dyDescent="0.4">
      <c r="A21" s="3">
        <v>70.569999999999993</v>
      </c>
      <c r="B21" s="1">
        <v>2.44</v>
      </c>
    </row>
    <row r="22" spans="1:2" ht="15" thickBot="1" x14ac:dyDescent="0.4">
      <c r="A22" s="3">
        <v>70.78</v>
      </c>
      <c r="B22" s="1">
        <v>2.3370000000000002</v>
      </c>
    </row>
    <row r="23" spans="1:2" ht="15" thickBot="1" x14ac:dyDescent="0.4">
      <c r="A23" s="3">
        <v>71</v>
      </c>
      <c r="B23" s="1">
        <v>2.2349999999999999</v>
      </c>
    </row>
    <row r="24" spans="1:2" ht="15" thickBot="1" x14ac:dyDescent="0.4">
      <c r="A24" s="3">
        <v>71.209999999999994</v>
      </c>
      <c r="B24" s="1">
        <v>2.1320000000000001</v>
      </c>
    </row>
    <row r="25" spans="1:2" ht="15" thickBot="1" x14ac:dyDescent="0.4">
      <c r="A25" s="3">
        <v>71.42</v>
      </c>
      <c r="B25" s="1">
        <v>2.0289999999999999</v>
      </c>
    </row>
    <row r="26" spans="1:2" ht="15" thickBot="1" x14ac:dyDescent="0.4">
      <c r="A26" s="3">
        <v>71.790000000000006</v>
      </c>
      <c r="B26" s="1">
        <v>1.978</v>
      </c>
    </row>
    <row r="27" spans="1:2" ht="15" thickBot="1" x14ac:dyDescent="0.4">
      <c r="A27" s="3">
        <v>72.150000000000006</v>
      </c>
      <c r="B27" s="1">
        <v>1.9259999999999999</v>
      </c>
    </row>
    <row r="28" spans="1:2" ht="15" thickBot="1" x14ac:dyDescent="0.4">
      <c r="A28" s="3">
        <v>72.52</v>
      </c>
      <c r="B28" s="1">
        <v>1.875</v>
      </c>
    </row>
    <row r="29" spans="1:2" ht="15" thickBot="1" x14ac:dyDescent="0.4">
      <c r="A29" s="3">
        <v>72.88</v>
      </c>
      <c r="B29" s="1">
        <v>1.823</v>
      </c>
    </row>
    <row r="30" spans="1:2" ht="15" thickBot="1" x14ac:dyDescent="0.4">
      <c r="A30" s="3">
        <v>73.25</v>
      </c>
      <c r="B30" s="1">
        <v>1.772</v>
      </c>
    </row>
    <row r="31" spans="1:2" ht="15" thickBot="1" x14ac:dyDescent="0.4">
      <c r="A31" s="3">
        <v>73.47</v>
      </c>
      <c r="B31" s="1">
        <v>1.778</v>
      </c>
    </row>
    <row r="32" spans="1:2" ht="15" thickBot="1" x14ac:dyDescent="0.4">
      <c r="A32" s="3">
        <v>73.7</v>
      </c>
      <c r="B32" s="1">
        <v>1.7849999999999999</v>
      </c>
    </row>
    <row r="33" spans="1:2" ht="15" thickBot="1" x14ac:dyDescent="0.4">
      <c r="A33" s="3">
        <v>73.92</v>
      </c>
      <c r="B33" s="1">
        <v>1.7909999999999999</v>
      </c>
    </row>
    <row r="34" spans="1:2" ht="15" thickBot="1" x14ac:dyDescent="0.4">
      <c r="A34" s="3">
        <v>74.150000000000006</v>
      </c>
      <c r="B34" s="1">
        <v>1.798</v>
      </c>
    </row>
    <row r="35" spans="1:2" ht="15" thickBot="1" x14ac:dyDescent="0.4">
      <c r="A35" s="3">
        <v>74.37</v>
      </c>
      <c r="B35" s="1">
        <v>1.804</v>
      </c>
    </row>
    <row r="36" spans="1:2" ht="15" thickBot="1" x14ac:dyDescent="0.4">
      <c r="A36" s="3">
        <v>74.47</v>
      </c>
      <c r="B36" s="1">
        <v>1.8260000000000001</v>
      </c>
    </row>
    <row r="37" spans="1:2" ht="15" thickBot="1" x14ac:dyDescent="0.4">
      <c r="A37" s="3">
        <v>74.58</v>
      </c>
      <c r="B37" s="1">
        <v>1.8480000000000001</v>
      </c>
    </row>
    <row r="38" spans="1:2" ht="15" thickBot="1" x14ac:dyDescent="0.4">
      <c r="A38" s="3">
        <v>74.680000000000007</v>
      </c>
      <c r="B38" s="1">
        <v>1.871</v>
      </c>
    </row>
    <row r="39" spans="1:2" ht="15" thickBot="1" x14ac:dyDescent="0.4">
      <c r="A39" s="3">
        <v>74.790000000000006</v>
      </c>
      <c r="B39" s="1">
        <v>1.893</v>
      </c>
    </row>
    <row r="40" spans="1:2" ht="15" thickBot="1" x14ac:dyDescent="0.4">
      <c r="A40" s="3">
        <v>74.89</v>
      </c>
      <c r="B40" s="1">
        <v>1.915</v>
      </c>
    </row>
    <row r="41" spans="1:2" ht="15" thickBot="1" x14ac:dyDescent="0.4">
      <c r="A41" s="3">
        <v>75.040000000000006</v>
      </c>
      <c r="B41" s="1">
        <v>1.9379999999999999</v>
      </c>
    </row>
    <row r="42" spans="1:2" ht="15" thickBot="1" x14ac:dyDescent="0.4">
      <c r="A42" s="3">
        <v>75.19</v>
      </c>
      <c r="B42" s="1">
        <v>1.9610000000000001</v>
      </c>
    </row>
    <row r="43" spans="1:2" ht="15" thickBot="1" x14ac:dyDescent="0.4">
      <c r="A43" s="3">
        <v>75.349999999999994</v>
      </c>
      <c r="B43" s="1">
        <v>1.984</v>
      </c>
    </row>
    <row r="44" spans="1:2" ht="15" thickBot="1" x14ac:dyDescent="0.4">
      <c r="A44" s="3">
        <v>75.5</v>
      </c>
      <c r="B44" s="1">
        <v>2.0070000000000001</v>
      </c>
    </row>
    <row r="45" spans="1:2" ht="15" thickBot="1" x14ac:dyDescent="0.4">
      <c r="A45" s="3">
        <v>75.650000000000006</v>
      </c>
      <c r="B45" s="1">
        <v>2.0299999999999998</v>
      </c>
    </row>
    <row r="46" spans="1:2" ht="15" thickBot="1" x14ac:dyDescent="0.4">
      <c r="A46" s="3">
        <v>75.81</v>
      </c>
      <c r="B46" s="1">
        <v>2.0230000000000001</v>
      </c>
    </row>
    <row r="47" spans="1:2" ht="15" thickBot="1" x14ac:dyDescent="0.4">
      <c r="A47" s="3">
        <v>75.98</v>
      </c>
      <c r="B47" s="1">
        <v>2.016</v>
      </c>
    </row>
    <row r="48" spans="1:2" ht="15" thickBot="1" x14ac:dyDescent="0.4">
      <c r="A48" s="3">
        <v>76.14</v>
      </c>
      <c r="B48" s="1">
        <v>2.0099999999999998</v>
      </c>
    </row>
    <row r="49" spans="1:2" ht="15" thickBot="1" x14ac:dyDescent="0.4">
      <c r="A49" s="3">
        <v>76.31</v>
      </c>
      <c r="B49" s="1">
        <v>2.0030000000000001</v>
      </c>
    </row>
    <row r="50" spans="1:2" ht="15" thickBot="1" x14ac:dyDescent="0.4">
      <c r="A50" s="3">
        <v>76.47</v>
      </c>
      <c r="B50" s="1">
        <v>1.996</v>
      </c>
    </row>
    <row r="51" spans="1:2" ht="15" thickBot="1" x14ac:dyDescent="0.4">
      <c r="A51" s="4">
        <v>76.61</v>
      </c>
      <c r="B51" s="1">
        <v>2.0049999999999999</v>
      </c>
    </row>
    <row r="52" spans="1:2" ht="15" thickBot="1" x14ac:dyDescent="0.4">
      <c r="A52" s="4">
        <v>76.75</v>
      </c>
      <c r="B52" s="1">
        <v>2.0139999999999998</v>
      </c>
    </row>
    <row r="53" spans="1:2" ht="15" thickBot="1" x14ac:dyDescent="0.4">
      <c r="A53" s="4">
        <v>76.900000000000006</v>
      </c>
      <c r="B53" s="1">
        <v>2.024</v>
      </c>
    </row>
    <row r="54" spans="1:2" ht="15" thickBot="1" x14ac:dyDescent="0.4">
      <c r="A54" s="4">
        <v>77.040000000000006</v>
      </c>
      <c r="B54" s="1">
        <v>2.0329999999999999</v>
      </c>
    </row>
    <row r="55" spans="1:2" ht="15" thickBot="1" x14ac:dyDescent="0.4">
      <c r="A55" s="4">
        <v>77.180000000000007</v>
      </c>
      <c r="B55" s="1">
        <v>2.0419999999999998</v>
      </c>
    </row>
    <row r="56" spans="1:2" ht="15" thickBot="1" x14ac:dyDescent="0.4">
      <c r="A56" s="4">
        <v>77.38</v>
      </c>
      <c r="B56" s="1">
        <v>2.0449999999999999</v>
      </c>
    </row>
    <row r="57" spans="1:2" ht="15" thickBot="1" x14ac:dyDescent="0.4">
      <c r="A57" s="4">
        <v>77.58</v>
      </c>
      <c r="B57" s="1">
        <v>2.0470000000000002</v>
      </c>
    </row>
    <row r="58" spans="1:2" ht="15" thickBot="1" x14ac:dyDescent="0.4">
      <c r="A58" s="4">
        <v>77.790000000000006</v>
      </c>
      <c r="B58" s="1">
        <v>2.0499999999999998</v>
      </c>
    </row>
    <row r="59" spans="1:2" ht="15" thickBot="1" x14ac:dyDescent="0.4">
      <c r="A59" s="4">
        <v>77.989999999999995</v>
      </c>
      <c r="B59" s="1">
        <v>2.052</v>
      </c>
    </row>
    <row r="60" spans="1:2" ht="15" thickBot="1" x14ac:dyDescent="0.4">
      <c r="A60" s="4">
        <v>78.19</v>
      </c>
      <c r="B60" s="1">
        <v>2.0550000000000002</v>
      </c>
    </row>
    <row r="61" spans="1:2" ht="15" thickBot="1" x14ac:dyDescent="0.4">
      <c r="A61" s="4">
        <v>78.34</v>
      </c>
      <c r="B61" s="1">
        <v>2.0190000000000001</v>
      </c>
    </row>
    <row r="62" spans="1:2" ht="15" thickBot="1" x14ac:dyDescent="0.4">
      <c r="A62" s="4">
        <v>78.489999999999995</v>
      </c>
      <c r="B62" s="1">
        <v>1.9830000000000001</v>
      </c>
    </row>
    <row r="63" spans="1:2" ht="15" thickBot="1" x14ac:dyDescent="0.4">
      <c r="A63" s="4">
        <v>78.64</v>
      </c>
      <c r="B63" s="1">
        <v>1.9470000000000001</v>
      </c>
    </row>
    <row r="64" spans="1:2" ht="15" thickBot="1" x14ac:dyDescent="0.4">
      <c r="A64" s="4">
        <v>78.790000000000006</v>
      </c>
      <c r="B64" s="1">
        <v>1.911</v>
      </c>
    </row>
    <row r="65" spans="1:2" ht="15" thickBot="1" x14ac:dyDescent="0.4">
      <c r="A65" s="4">
        <v>78.94</v>
      </c>
      <c r="B65" s="1">
        <v>1.875</v>
      </c>
    </row>
    <row r="66" spans="1:2" ht="15" thickBot="1" x14ac:dyDescent="0.4">
      <c r="A66" s="4">
        <v>78.91</v>
      </c>
      <c r="B66" s="1">
        <v>1.855</v>
      </c>
    </row>
    <row r="67" spans="1:2" ht="15" thickBot="1" x14ac:dyDescent="0.4">
      <c r="A67" s="4">
        <v>78.89</v>
      </c>
      <c r="B67" s="1">
        <v>1.835</v>
      </c>
    </row>
    <row r="68" spans="1:2" ht="15" thickBot="1" x14ac:dyDescent="0.4">
      <c r="A68" s="4">
        <v>78.86</v>
      </c>
      <c r="B68" s="1">
        <v>1.8160000000000001</v>
      </c>
    </row>
    <row r="69" spans="1:2" ht="15" thickBot="1" x14ac:dyDescent="0.4">
      <c r="A69" s="4">
        <v>78.84</v>
      </c>
      <c r="B69" s="1">
        <v>1.796</v>
      </c>
    </row>
    <row r="70" spans="1:2" ht="15" thickBot="1" x14ac:dyDescent="0.4">
      <c r="A70" s="4">
        <v>78.81</v>
      </c>
      <c r="B70" s="1">
        <v>1.776</v>
      </c>
    </row>
    <row r="71" spans="1:2" ht="15" thickBot="1" x14ac:dyDescent="0.4">
      <c r="A71" s="4">
        <v>78.87</v>
      </c>
      <c r="B71" s="1">
        <v>1.778</v>
      </c>
    </row>
    <row r="72" spans="1:2" x14ac:dyDescent="0.35">
      <c r="A72" s="4">
        <v>78.930000000000007</v>
      </c>
      <c r="B72" s="2">
        <v>1.7789999999999999</v>
      </c>
    </row>
    <row r="73" spans="1:2" x14ac:dyDescent="0.35">
      <c r="A73" s="4">
        <v>78.989999999999995</v>
      </c>
      <c r="B73" s="2">
        <v>1.7809999999999999</v>
      </c>
    </row>
    <row r="74" spans="1:2" x14ac:dyDescent="0.35">
      <c r="A74" s="4">
        <v>79.05</v>
      </c>
      <c r="B74" s="2">
        <v>1.782</v>
      </c>
    </row>
    <row r="75" spans="1:2" x14ac:dyDescent="0.35">
      <c r="A75" s="4">
        <v>79.11</v>
      </c>
      <c r="B75" s="2">
        <v>1.784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B15A-7A27-44FE-83B1-5178C5410B45}">
  <dimension ref="A1:B75"/>
  <sheetViews>
    <sheetView zoomScale="80" zoomScaleNormal="80" workbookViewId="0">
      <selection activeCell="T31" sqref="T31"/>
    </sheetView>
  </sheetViews>
  <sheetFormatPr defaultRowHeight="14.5" x14ac:dyDescent="0.35"/>
  <cols>
    <col min="1" max="1" width="21.1796875" style="3" bestFit="1" customWidth="1"/>
    <col min="2" max="2" width="18.7265625" style="2" bestFit="1" customWidth="1"/>
  </cols>
  <sheetData>
    <row r="1" spans="1:2" x14ac:dyDescent="0.35">
      <c r="A1" s="3" t="s">
        <v>0</v>
      </c>
      <c r="B1" s="2" t="s">
        <v>1</v>
      </c>
    </row>
    <row r="2" spans="1:2" x14ac:dyDescent="0.35">
      <c r="A2" s="3">
        <v>68.14</v>
      </c>
      <c r="B2" s="2">
        <v>3.1480000000000001</v>
      </c>
    </row>
    <row r="3" spans="1:2" x14ac:dyDescent="0.35">
      <c r="A3" s="3">
        <v>68.33</v>
      </c>
      <c r="B3" s="2">
        <v>3.2029999999999998</v>
      </c>
    </row>
    <row r="4" spans="1:2" x14ac:dyDescent="0.35">
      <c r="A4" s="3">
        <v>68.52</v>
      </c>
      <c r="B4" s="2">
        <v>3.2570000000000001</v>
      </c>
    </row>
    <row r="5" spans="1:2" x14ac:dyDescent="0.35">
      <c r="A5" s="3">
        <v>68.709999999999994</v>
      </c>
      <c r="B5" s="2">
        <v>3.3109999999999999</v>
      </c>
    </row>
    <row r="6" spans="1:2" x14ac:dyDescent="0.35">
      <c r="A6" s="3">
        <v>68.900000000000006</v>
      </c>
      <c r="B6" s="2">
        <v>3.3650000000000002</v>
      </c>
    </row>
    <row r="7" spans="1:2" x14ac:dyDescent="0.35">
      <c r="A7" s="3">
        <v>69.09</v>
      </c>
      <c r="B7" s="2">
        <v>3.419</v>
      </c>
    </row>
    <row r="8" spans="1:2" ht="15" thickBot="1" x14ac:dyDescent="0.4">
      <c r="A8" s="3">
        <v>69.28</v>
      </c>
      <c r="B8" s="2">
        <v>3.4740000000000002</v>
      </c>
    </row>
    <row r="9" spans="1:2" ht="15" thickBot="1" x14ac:dyDescent="0.4">
      <c r="A9" s="3">
        <v>69.47</v>
      </c>
      <c r="B9" s="1">
        <v>3.528</v>
      </c>
    </row>
    <row r="10" spans="1:2" ht="15" thickBot="1" x14ac:dyDescent="0.4">
      <c r="A10" s="3">
        <v>69.66</v>
      </c>
      <c r="B10" s="1">
        <v>3.5819999999999999</v>
      </c>
    </row>
    <row r="11" spans="1:2" ht="15" thickBot="1" x14ac:dyDescent="0.4">
      <c r="A11" s="3">
        <v>69.75</v>
      </c>
      <c r="B11" s="1">
        <v>3.512</v>
      </c>
    </row>
    <row r="12" spans="1:2" ht="15" thickBot="1" x14ac:dyDescent="0.4">
      <c r="A12" s="3">
        <v>69.84</v>
      </c>
      <c r="B12" s="1">
        <v>3.4430000000000001</v>
      </c>
    </row>
    <row r="13" spans="1:2" ht="15" thickBot="1" x14ac:dyDescent="0.4">
      <c r="A13" s="3">
        <v>69.930000000000007</v>
      </c>
      <c r="B13" s="1">
        <v>3.3730000000000002</v>
      </c>
    </row>
    <row r="14" spans="1:2" ht="15" thickBot="1" x14ac:dyDescent="0.4">
      <c r="A14" s="3">
        <v>70.02</v>
      </c>
      <c r="B14" s="1">
        <v>3.3039999999999998</v>
      </c>
    </row>
    <row r="15" spans="1:2" ht="15" thickBot="1" x14ac:dyDescent="0.4">
      <c r="A15" s="3">
        <v>70.11</v>
      </c>
      <c r="B15" s="1">
        <v>3.234</v>
      </c>
    </row>
    <row r="16" spans="1:2" ht="15" thickBot="1" x14ac:dyDescent="0.4">
      <c r="A16" s="3">
        <v>70.16</v>
      </c>
      <c r="B16" s="1">
        <v>3.0960000000000001</v>
      </c>
    </row>
    <row r="17" spans="1:2" ht="15" thickBot="1" x14ac:dyDescent="0.4">
      <c r="A17" s="3">
        <v>70.209999999999994</v>
      </c>
      <c r="B17" s="1">
        <v>2.9580000000000002</v>
      </c>
    </row>
    <row r="18" spans="1:2" ht="15" thickBot="1" x14ac:dyDescent="0.4">
      <c r="A18" s="3">
        <v>70.260000000000005</v>
      </c>
      <c r="B18" s="1">
        <v>2.819</v>
      </c>
    </row>
    <row r="19" spans="1:2" ht="15" thickBot="1" x14ac:dyDescent="0.4">
      <c r="A19" s="3">
        <v>70.31</v>
      </c>
      <c r="B19" s="1">
        <v>2.681</v>
      </c>
    </row>
    <row r="20" spans="1:2" ht="15" thickBot="1" x14ac:dyDescent="0.4">
      <c r="A20" s="3">
        <v>70.36</v>
      </c>
      <c r="B20" s="1">
        <v>2.5430000000000001</v>
      </c>
    </row>
    <row r="21" spans="1:2" ht="15" thickBot="1" x14ac:dyDescent="0.4">
      <c r="A21" s="3">
        <v>70.569999999999993</v>
      </c>
      <c r="B21" s="1">
        <v>2.44</v>
      </c>
    </row>
    <row r="22" spans="1:2" ht="15" thickBot="1" x14ac:dyDescent="0.4">
      <c r="A22" s="3">
        <v>70.78</v>
      </c>
      <c r="B22" s="1">
        <v>2.3370000000000002</v>
      </c>
    </row>
    <row r="23" spans="1:2" ht="15" thickBot="1" x14ac:dyDescent="0.4">
      <c r="A23" s="3">
        <v>71</v>
      </c>
      <c r="B23" s="1">
        <v>2.2349999999999999</v>
      </c>
    </row>
    <row r="24" spans="1:2" ht="15" thickBot="1" x14ac:dyDescent="0.4">
      <c r="A24" s="3">
        <v>71.209999999999994</v>
      </c>
      <c r="B24" s="1">
        <v>2.1320000000000001</v>
      </c>
    </row>
    <row r="25" spans="1:2" ht="15" thickBot="1" x14ac:dyDescent="0.4">
      <c r="A25" s="3">
        <v>71.42</v>
      </c>
      <c r="B25" s="1">
        <v>2.0289999999999999</v>
      </c>
    </row>
    <row r="26" spans="1:2" ht="15" thickBot="1" x14ac:dyDescent="0.4">
      <c r="A26" s="3">
        <v>71.790000000000006</v>
      </c>
      <c r="B26" s="1">
        <v>1.978</v>
      </c>
    </row>
    <row r="27" spans="1:2" ht="15" thickBot="1" x14ac:dyDescent="0.4">
      <c r="A27" s="3">
        <v>72.150000000000006</v>
      </c>
      <c r="B27" s="1">
        <v>1.9259999999999999</v>
      </c>
    </row>
    <row r="28" spans="1:2" ht="15" thickBot="1" x14ac:dyDescent="0.4">
      <c r="A28" s="3">
        <v>72.52</v>
      </c>
      <c r="B28" s="1">
        <v>1.875</v>
      </c>
    </row>
    <row r="29" spans="1:2" ht="15" thickBot="1" x14ac:dyDescent="0.4">
      <c r="A29" s="3">
        <v>72.88</v>
      </c>
      <c r="B29" s="1">
        <v>1.823</v>
      </c>
    </row>
    <row r="30" spans="1:2" ht="15" thickBot="1" x14ac:dyDescent="0.4">
      <c r="A30" s="3">
        <v>73.25</v>
      </c>
      <c r="B30" s="1">
        <v>1.772</v>
      </c>
    </row>
    <row r="31" spans="1:2" ht="15" thickBot="1" x14ac:dyDescent="0.4">
      <c r="A31" s="3">
        <v>73.47</v>
      </c>
      <c r="B31" s="1">
        <v>1.778</v>
      </c>
    </row>
    <row r="32" spans="1:2" ht="15" thickBot="1" x14ac:dyDescent="0.4">
      <c r="A32" s="3">
        <v>73.7</v>
      </c>
      <c r="B32" s="1">
        <v>1.7849999999999999</v>
      </c>
    </row>
    <row r="33" spans="1:2" ht="15" thickBot="1" x14ac:dyDescent="0.4">
      <c r="A33" s="3">
        <v>73.92</v>
      </c>
      <c r="B33" s="1">
        <v>1.7909999999999999</v>
      </c>
    </row>
    <row r="34" spans="1:2" ht="15" thickBot="1" x14ac:dyDescent="0.4">
      <c r="A34" s="3">
        <v>74.150000000000006</v>
      </c>
      <c r="B34" s="1">
        <v>1.798</v>
      </c>
    </row>
    <row r="35" spans="1:2" ht="15" thickBot="1" x14ac:dyDescent="0.4">
      <c r="A35" s="3">
        <v>74.37</v>
      </c>
      <c r="B35" s="1">
        <v>1.804</v>
      </c>
    </row>
    <row r="36" spans="1:2" ht="15" thickBot="1" x14ac:dyDescent="0.4">
      <c r="A36" s="3">
        <v>74.47</v>
      </c>
      <c r="B36" s="1">
        <v>1.8260000000000001</v>
      </c>
    </row>
    <row r="37" spans="1:2" ht="15" thickBot="1" x14ac:dyDescent="0.4">
      <c r="A37" s="3">
        <v>74.58</v>
      </c>
      <c r="B37" s="1">
        <v>1.8480000000000001</v>
      </c>
    </row>
    <row r="38" spans="1:2" ht="15" thickBot="1" x14ac:dyDescent="0.4">
      <c r="A38" s="3">
        <v>74.680000000000007</v>
      </c>
      <c r="B38" s="1">
        <v>1.871</v>
      </c>
    </row>
    <row r="39" spans="1:2" ht="15" thickBot="1" x14ac:dyDescent="0.4">
      <c r="A39" s="3">
        <v>74.790000000000006</v>
      </c>
      <c r="B39" s="1">
        <v>1.893</v>
      </c>
    </row>
    <row r="40" spans="1:2" ht="15" thickBot="1" x14ac:dyDescent="0.4">
      <c r="A40" s="3">
        <v>74.89</v>
      </c>
      <c r="B40" s="1">
        <v>1.915</v>
      </c>
    </row>
    <row r="41" spans="1:2" ht="15" thickBot="1" x14ac:dyDescent="0.4">
      <c r="A41" s="3">
        <v>75.040000000000006</v>
      </c>
      <c r="B41" s="1">
        <v>1.9379999999999999</v>
      </c>
    </row>
    <row r="42" spans="1:2" ht="15" thickBot="1" x14ac:dyDescent="0.4">
      <c r="A42" s="3">
        <v>75.19</v>
      </c>
      <c r="B42" s="1">
        <v>1.9610000000000001</v>
      </c>
    </row>
    <row r="43" spans="1:2" ht="15" thickBot="1" x14ac:dyDescent="0.4">
      <c r="A43" s="3">
        <v>75.349999999999994</v>
      </c>
      <c r="B43" s="1">
        <v>1.984</v>
      </c>
    </row>
    <row r="44" spans="1:2" ht="15" thickBot="1" x14ac:dyDescent="0.4">
      <c r="A44" s="3">
        <v>75.5</v>
      </c>
      <c r="B44" s="1">
        <v>2.0070000000000001</v>
      </c>
    </row>
    <row r="45" spans="1:2" ht="15" thickBot="1" x14ac:dyDescent="0.4">
      <c r="A45" s="3">
        <v>75.650000000000006</v>
      </c>
      <c r="B45" s="1">
        <v>2.0299999999999998</v>
      </c>
    </row>
    <row r="46" spans="1:2" ht="15" thickBot="1" x14ac:dyDescent="0.4">
      <c r="A46" s="3">
        <v>75.81</v>
      </c>
      <c r="B46" s="1">
        <v>2.0230000000000001</v>
      </c>
    </row>
    <row r="47" spans="1:2" ht="15" thickBot="1" x14ac:dyDescent="0.4">
      <c r="A47" s="3">
        <v>75.98</v>
      </c>
      <c r="B47" s="1">
        <v>2.016</v>
      </c>
    </row>
    <row r="48" spans="1:2" ht="15" thickBot="1" x14ac:dyDescent="0.4">
      <c r="A48" s="3">
        <v>76.14</v>
      </c>
      <c r="B48" s="1">
        <v>2.0099999999999998</v>
      </c>
    </row>
    <row r="49" spans="1:2" ht="15" thickBot="1" x14ac:dyDescent="0.4">
      <c r="A49" s="3">
        <v>76.31</v>
      </c>
      <c r="B49" s="1">
        <v>2.0030000000000001</v>
      </c>
    </row>
    <row r="50" spans="1:2" ht="15" thickBot="1" x14ac:dyDescent="0.4">
      <c r="A50" s="3">
        <v>76.47</v>
      </c>
      <c r="B50" s="1">
        <v>1.996</v>
      </c>
    </row>
    <row r="51" spans="1:2" ht="15" thickBot="1" x14ac:dyDescent="0.4">
      <c r="A51" s="4">
        <v>76.61</v>
      </c>
      <c r="B51" s="1">
        <v>2.0049999999999999</v>
      </c>
    </row>
    <row r="52" spans="1:2" ht="15" thickBot="1" x14ac:dyDescent="0.4">
      <c r="A52" s="4">
        <v>76.75</v>
      </c>
      <c r="B52" s="1">
        <v>2.0139999999999998</v>
      </c>
    </row>
    <row r="53" spans="1:2" ht="15" thickBot="1" x14ac:dyDescent="0.4">
      <c r="A53" s="4">
        <v>76.900000000000006</v>
      </c>
      <c r="B53" s="1">
        <v>2.024</v>
      </c>
    </row>
    <row r="54" spans="1:2" ht="15" thickBot="1" x14ac:dyDescent="0.4">
      <c r="A54" s="4">
        <v>77.040000000000006</v>
      </c>
      <c r="B54" s="1">
        <v>2.0329999999999999</v>
      </c>
    </row>
    <row r="55" spans="1:2" ht="15" thickBot="1" x14ac:dyDescent="0.4">
      <c r="A55" s="4">
        <v>77.180000000000007</v>
      </c>
      <c r="B55" s="1">
        <v>2.0419999999999998</v>
      </c>
    </row>
    <row r="56" spans="1:2" ht="15" thickBot="1" x14ac:dyDescent="0.4">
      <c r="A56" s="4">
        <v>77.38</v>
      </c>
      <c r="B56" s="1">
        <v>2.0449999999999999</v>
      </c>
    </row>
    <row r="57" spans="1:2" ht="15" thickBot="1" x14ac:dyDescent="0.4">
      <c r="A57" s="4">
        <v>77.58</v>
      </c>
      <c r="B57" s="1">
        <v>2.0470000000000002</v>
      </c>
    </row>
    <row r="58" spans="1:2" ht="15" thickBot="1" x14ac:dyDescent="0.4">
      <c r="A58" s="4">
        <v>77.790000000000006</v>
      </c>
      <c r="B58" s="1">
        <v>2.0499999999999998</v>
      </c>
    </row>
    <row r="59" spans="1:2" ht="15" thickBot="1" x14ac:dyDescent="0.4">
      <c r="A59" s="4">
        <v>77.989999999999995</v>
      </c>
      <c r="B59" s="1">
        <v>2.052</v>
      </c>
    </row>
    <row r="60" spans="1:2" ht="15" thickBot="1" x14ac:dyDescent="0.4">
      <c r="A60" s="4">
        <v>78.19</v>
      </c>
      <c r="B60" s="1">
        <v>2.0550000000000002</v>
      </c>
    </row>
    <row r="61" spans="1:2" ht="15" thickBot="1" x14ac:dyDescent="0.4">
      <c r="A61" s="4">
        <v>78.34</v>
      </c>
      <c r="B61" s="1">
        <v>2.0190000000000001</v>
      </c>
    </row>
    <row r="62" spans="1:2" ht="15" thickBot="1" x14ac:dyDescent="0.4">
      <c r="A62" s="4">
        <v>78.489999999999995</v>
      </c>
      <c r="B62" s="1">
        <v>1.9830000000000001</v>
      </c>
    </row>
    <row r="63" spans="1:2" ht="15" thickBot="1" x14ac:dyDescent="0.4">
      <c r="A63" s="4">
        <v>78.64</v>
      </c>
      <c r="B63" s="1">
        <v>1.9470000000000001</v>
      </c>
    </row>
    <row r="64" spans="1:2" ht="15" thickBot="1" x14ac:dyDescent="0.4">
      <c r="A64" s="4">
        <v>78.790000000000006</v>
      </c>
      <c r="B64" s="1">
        <v>1.911</v>
      </c>
    </row>
    <row r="65" spans="1:2" ht="15" thickBot="1" x14ac:dyDescent="0.4">
      <c r="A65" s="4">
        <v>78.94</v>
      </c>
      <c r="B65" s="1">
        <v>1.875</v>
      </c>
    </row>
    <row r="66" spans="1:2" ht="15" thickBot="1" x14ac:dyDescent="0.4">
      <c r="A66" s="4">
        <v>78.91</v>
      </c>
      <c r="B66" s="1">
        <v>1.855</v>
      </c>
    </row>
    <row r="67" spans="1:2" ht="15" thickBot="1" x14ac:dyDescent="0.4">
      <c r="A67" s="4">
        <v>78.89</v>
      </c>
      <c r="B67" s="1">
        <v>1.835</v>
      </c>
    </row>
    <row r="68" spans="1:2" ht="15" thickBot="1" x14ac:dyDescent="0.4">
      <c r="A68" s="4">
        <v>78.86</v>
      </c>
      <c r="B68" s="1">
        <v>1.8160000000000001</v>
      </c>
    </row>
    <row r="69" spans="1:2" ht="15" thickBot="1" x14ac:dyDescent="0.4">
      <c r="A69" s="4">
        <v>78.84</v>
      </c>
      <c r="B69" s="1">
        <v>1.796</v>
      </c>
    </row>
    <row r="70" spans="1:2" ht="15" thickBot="1" x14ac:dyDescent="0.4">
      <c r="A70" s="4">
        <v>78.81</v>
      </c>
      <c r="B70" s="1">
        <v>1.776</v>
      </c>
    </row>
    <row r="71" spans="1:2" ht="15" thickBot="1" x14ac:dyDescent="0.4">
      <c r="A71" s="4">
        <v>78.87</v>
      </c>
      <c r="B71" s="1">
        <v>1.778</v>
      </c>
    </row>
    <row r="72" spans="1:2" x14ac:dyDescent="0.35">
      <c r="A72" s="4">
        <v>78.930000000000007</v>
      </c>
      <c r="B72" s="2">
        <v>1.7789999999999999</v>
      </c>
    </row>
    <row r="73" spans="1:2" x14ac:dyDescent="0.35">
      <c r="A73" s="4">
        <v>78.989999999999995</v>
      </c>
      <c r="B73" s="2">
        <v>1.7809999999999999</v>
      </c>
    </row>
    <row r="74" spans="1:2" x14ac:dyDescent="0.35">
      <c r="A74" s="4">
        <v>79.05</v>
      </c>
      <c r="B74" s="2">
        <v>1.782</v>
      </c>
    </row>
    <row r="75" spans="1:2" x14ac:dyDescent="0.35">
      <c r="A75" s="4">
        <v>79.11</v>
      </c>
      <c r="B75" s="2">
        <v>1.784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3CAC-4EF5-40D9-B928-1B4719FD1255}">
  <dimension ref="A1:AA77"/>
  <sheetViews>
    <sheetView tabSelected="1" topLeftCell="A12" zoomScale="80" zoomScaleNormal="80" workbookViewId="0">
      <selection activeCell="Z28" sqref="Z28"/>
    </sheetView>
  </sheetViews>
  <sheetFormatPr defaultRowHeight="14.5" x14ac:dyDescent="0.35"/>
  <cols>
    <col min="1" max="1" width="21.1796875" style="3" bestFit="1" customWidth="1"/>
    <col min="2" max="2" width="18.7265625" style="2" bestFit="1" customWidth="1"/>
    <col min="17" max="17" width="10.81640625" bestFit="1" customWidth="1"/>
    <col min="21" max="21" width="12.81640625" bestFit="1" customWidth="1"/>
    <col min="25" max="25" width="11.453125" bestFit="1" customWidth="1"/>
    <col min="26" max="26" width="10.81640625" bestFit="1" customWidth="1"/>
  </cols>
  <sheetData>
    <row r="1" spans="1:27" x14ac:dyDescent="0.35">
      <c r="A1" s="3" t="s">
        <v>0</v>
      </c>
      <c r="B1" s="2" t="s">
        <v>1</v>
      </c>
      <c r="E1" t="s">
        <v>42</v>
      </c>
      <c r="F1" t="s">
        <v>41</v>
      </c>
      <c r="G1" t="s">
        <v>43</v>
      </c>
      <c r="I1" t="s">
        <v>44</v>
      </c>
      <c r="J1" t="s">
        <v>47</v>
      </c>
      <c r="K1" t="s">
        <v>52</v>
      </c>
      <c r="M1" t="s">
        <v>48</v>
      </c>
      <c r="N1" t="s">
        <v>47</v>
      </c>
      <c r="O1" t="s">
        <v>52</v>
      </c>
      <c r="Q1" t="s">
        <v>49</v>
      </c>
      <c r="R1" t="s">
        <v>47</v>
      </c>
      <c r="S1" t="s">
        <v>52</v>
      </c>
      <c r="U1" t="s">
        <v>50</v>
      </c>
      <c r="V1" t="s">
        <v>47</v>
      </c>
      <c r="W1" t="s">
        <v>52</v>
      </c>
      <c r="Y1" t="s">
        <v>51</v>
      </c>
      <c r="Z1" t="s">
        <v>47</v>
      </c>
      <c r="AA1" t="s">
        <v>52</v>
      </c>
    </row>
    <row r="2" spans="1:27" x14ac:dyDescent="0.35">
      <c r="A2" s="3">
        <v>69.75</v>
      </c>
      <c r="B2" s="8">
        <v>3.512</v>
      </c>
      <c r="C2">
        <v>0</v>
      </c>
      <c r="E2">
        <f>-0.1302*A2+11.946</f>
        <v>2.8645499999999995</v>
      </c>
      <c r="F2">
        <f>ABS(B2-E2)</f>
        <v>0.64745000000000053</v>
      </c>
      <c r="G2">
        <f>F2^2</f>
        <v>0.4191915025000007</v>
      </c>
      <c r="I2">
        <f>0.0257*A2^2-3.9395*A2+152.54</f>
        <v>2.7919812499999921</v>
      </c>
      <c r="J2">
        <f>ABS(B2-I2)</f>
        <v>0.72001875000000792</v>
      </c>
      <c r="K2">
        <f>J2^2</f>
        <v>0.51842700035157396</v>
      </c>
      <c r="M2">
        <f>-0.00233623*A2^3+0.54385445*A2^2-42.19211987*A2+1092.72355081</f>
        <v>2.9372087654685402</v>
      </c>
      <c r="N2">
        <f>ABS(B2-M2)</f>
        <v>0.57479123453145986</v>
      </c>
      <c r="O2">
        <f>N2^2</f>
        <v>0.3303849632941997</v>
      </c>
      <c r="Q2" s="10">
        <f>-0.00229644*A2^4+0.67401438*A2^3-74.08968644*A2^2+3614.8459501*A2-66046.05233276</f>
        <v>3.2078009299148107</v>
      </c>
      <c r="R2">
        <f>ABS(B2-Q2)</f>
        <v>0.30419907008518932</v>
      </c>
      <c r="S2">
        <f>R2^2</f>
        <v>9.253707424069392E-2</v>
      </c>
      <c r="U2">
        <f>0.0005828775*A2^5-0.2170431836*A2^4+32.2998196666*A2^3-2401.2779715965*A2^2+89179.7707095229*A2-1323592.26503829</f>
        <v>3.2868593214079738</v>
      </c>
      <c r="V2">
        <f>ABS(B2-U2)</f>
        <v>0.22514067859202624</v>
      </c>
      <c r="W2">
        <f>V2^2</f>
        <v>5.0688325156878065E-2</v>
      </c>
      <c r="Y2">
        <f>-0.00009105857152*A2^6+0.04083087920548*A2^5-7.62545555706768*A2^4+759.196917911132*A2^3-42498.2172505625*A2^2+1268185.83180976*A2-15760604.3434054</f>
        <v>3.2444675825536251</v>
      </c>
      <c r="Z2">
        <f>ABS(B2-Y2)</f>
        <v>0.2675324174463749</v>
      </c>
      <c r="AA2">
        <f>Z2^2</f>
        <v>7.15735943847014E-2</v>
      </c>
    </row>
    <row r="3" spans="1:27" x14ac:dyDescent="0.35">
      <c r="A3" s="3">
        <v>69.84</v>
      </c>
      <c r="B3" s="8">
        <v>3.4430000000000001</v>
      </c>
      <c r="C3">
        <v>0</v>
      </c>
      <c r="E3">
        <f t="shared" ref="E3:E15" si="0">-0.1302*A3+11.946</f>
        <v>2.8528319999999994</v>
      </c>
      <c r="F3">
        <f t="shared" ref="F3:F15" si="1">ABS(B3-E3)</f>
        <v>0.59016800000000069</v>
      </c>
      <c r="G3">
        <f t="shared" ref="G3:G15" si="2">F3^2</f>
        <v>0.34829826822400084</v>
      </c>
      <c r="I3">
        <f t="shared" ref="I3:I15" si="3">0.0257*A3^2-3.9395*A3+152.54</f>
        <v>2.7602979199999993</v>
      </c>
      <c r="J3">
        <f t="shared" ref="J3:J15" si="4">ABS(B3-I3)</f>
        <v>0.68270208000000077</v>
      </c>
      <c r="K3">
        <f t="shared" ref="K3:K15" si="5">J3^2</f>
        <v>0.46608213003632742</v>
      </c>
      <c r="M3">
        <f t="shared" ref="M3:M15" si="6">-0.00233623*A3^3+0.54385445*A3^2-42.19211987*A3+1092.72355081</f>
        <v>2.8996600398384089</v>
      </c>
      <c r="N3">
        <f t="shared" ref="N3:N15" si="7">ABS(B3-M3)</f>
        <v>0.54333996016159114</v>
      </c>
      <c r="O3">
        <f t="shared" ref="O3:O15" si="8">N3^2</f>
        <v>0.29521831230839946</v>
      </c>
      <c r="Q3" s="10">
        <f t="shared" ref="Q3:Q15" si="9">-0.00229644*A3^4+0.67401438*A3^3-74.08968644*A3^2+3614.8459501*A3-66046.05233276</f>
        <v>3.1731537257001037</v>
      </c>
      <c r="R3">
        <f t="shared" ref="R3:R15" si="10">ABS(B3-Q3)</f>
        <v>0.26984627429989638</v>
      </c>
      <c r="S3">
        <f t="shared" ref="S3:S15" si="11">R3^2</f>
        <v>7.2817011753534916E-2</v>
      </c>
      <c r="U3">
        <f t="shared" ref="U3:U15" si="12">0.0005828775*A3^5-0.2170431836*A3^4+32.2998196666*A3^3-2401.2779715965*A3^2+89179.7707095229*A3-1323592.26503829</f>
        <v>3.238169776275754</v>
      </c>
      <c r="V3">
        <f t="shared" ref="V3:V15" si="13">ABS(B3-U3)</f>
        <v>0.20483022372424609</v>
      </c>
      <c r="W3">
        <f t="shared" ref="W3:W15" si="14">V3^2</f>
        <v>4.1955420550924702E-2</v>
      </c>
      <c r="Y3">
        <f t="shared" ref="Y3:Y15" si="15">-0.00009105857152*A3^6+0.04083087920548*A3^5-7.62545555706768*A3^4+759.196917911132*A3^3-42498.2172505625*A3^2+1268185.83180976*A3-15760604.3434054</f>
        <v>3.1850182823836803</v>
      </c>
      <c r="Z3">
        <f t="shared" ref="Z3:Z15" si="16">ABS(B3-Y3)</f>
        <v>0.25798171761631972</v>
      </c>
      <c r="AA3">
        <f t="shared" ref="AA3:AA15" si="17">Z3^2</f>
        <v>6.6554566624266523E-2</v>
      </c>
    </row>
    <row r="4" spans="1:27" x14ac:dyDescent="0.35">
      <c r="A4" s="3">
        <v>70.78</v>
      </c>
      <c r="B4" s="8">
        <v>2.3370000000000002</v>
      </c>
      <c r="C4">
        <v>0</v>
      </c>
      <c r="E4">
        <f t="shared" si="0"/>
        <v>2.7304439999999985</v>
      </c>
      <c r="F4">
        <f t="shared" si="1"/>
        <v>0.39344399999999835</v>
      </c>
      <c r="G4">
        <f t="shared" si="2"/>
        <v>0.15479818113599869</v>
      </c>
      <c r="I4">
        <f t="shared" si="3"/>
        <v>2.4542658800000083</v>
      </c>
      <c r="J4">
        <f t="shared" si="4"/>
        <v>0.11726588000000815</v>
      </c>
      <c r="K4">
        <f t="shared" si="5"/>
        <v>1.3751286612176311E-2</v>
      </c>
      <c r="M4">
        <f t="shared" si="6"/>
        <v>2.5582004664408942</v>
      </c>
      <c r="N4">
        <f t="shared" si="7"/>
        <v>0.22120046644089397</v>
      </c>
      <c r="O4">
        <f t="shared" si="8"/>
        <v>4.892964635366906E-2</v>
      </c>
      <c r="Q4" s="10">
        <f t="shared" si="9"/>
        <v>2.7614347328344593</v>
      </c>
      <c r="R4">
        <f t="shared" si="10"/>
        <v>0.42443473283445909</v>
      </c>
      <c r="S4">
        <f t="shared" si="11"/>
        <v>0.18014484243625867</v>
      </c>
      <c r="U4">
        <f t="shared" si="12"/>
        <v>2.6443848516792059</v>
      </c>
      <c r="V4">
        <f t="shared" si="13"/>
        <v>0.30738485167920571</v>
      </c>
      <c r="W4">
        <f t="shared" si="14"/>
        <v>9.448544704184729E-2</v>
      </c>
      <c r="Y4">
        <f t="shared" si="15"/>
        <v>2.5129811428487301</v>
      </c>
      <c r="Z4">
        <f t="shared" si="16"/>
        <v>0.1759811428487299</v>
      </c>
      <c r="AA4">
        <f t="shared" si="17"/>
        <v>3.0969362638345078E-2</v>
      </c>
    </row>
    <row r="5" spans="1:27" x14ac:dyDescent="0.35">
      <c r="A5" s="3">
        <v>71.790000000000006</v>
      </c>
      <c r="B5" s="8">
        <v>1.978</v>
      </c>
      <c r="C5">
        <v>0</v>
      </c>
      <c r="E5">
        <f t="shared" si="0"/>
        <v>2.5989419999999974</v>
      </c>
      <c r="F5">
        <f t="shared" si="1"/>
        <v>0.62094199999999744</v>
      </c>
      <c r="G5">
        <f t="shared" si="2"/>
        <v>0.38556896736399682</v>
      </c>
      <c r="I5">
        <f t="shared" si="3"/>
        <v>2.1760603700000161</v>
      </c>
      <c r="J5">
        <f t="shared" si="4"/>
        <v>0.19806037000001608</v>
      </c>
      <c r="K5">
        <f t="shared" si="5"/>
        <v>3.9227910164543273E-2</v>
      </c>
      <c r="M5">
        <f t="shared" si="6"/>
        <v>2.285092440883318</v>
      </c>
      <c r="N5">
        <f t="shared" si="7"/>
        <v>0.307092440883318</v>
      </c>
      <c r="O5">
        <f t="shared" si="8"/>
        <v>9.4305767247674158E-2</v>
      </c>
      <c r="Q5" s="10">
        <f t="shared" si="9"/>
        <v>2.3223219235223951</v>
      </c>
      <c r="R5">
        <f t="shared" si="10"/>
        <v>0.3443219235223951</v>
      </c>
      <c r="S5">
        <f t="shared" si="11"/>
        <v>0.1185575870181621</v>
      </c>
      <c r="U5">
        <f t="shared" si="12"/>
        <v>2.0863469773903489</v>
      </c>
      <c r="V5">
        <f t="shared" si="13"/>
        <v>0.10834697739034893</v>
      </c>
      <c r="W5">
        <f t="shared" si="14"/>
        <v>1.1739067509624782E-2</v>
      </c>
      <c r="Y5">
        <f t="shared" si="15"/>
        <v>1.974969606846571</v>
      </c>
      <c r="Z5">
        <f t="shared" si="16"/>
        <v>3.0303931534290118E-3</v>
      </c>
      <c r="AA5">
        <f t="shared" si="17"/>
        <v>9.1832826643494312E-6</v>
      </c>
    </row>
    <row r="6" spans="1:27" x14ac:dyDescent="0.35">
      <c r="A6" s="3">
        <v>74.150000000000006</v>
      </c>
      <c r="B6" s="8">
        <v>1.798</v>
      </c>
      <c r="C6">
        <v>0</v>
      </c>
      <c r="E6">
        <f t="shared" si="0"/>
        <v>2.2916699999999981</v>
      </c>
      <c r="F6">
        <f t="shared" si="1"/>
        <v>0.49366999999999805</v>
      </c>
      <c r="G6">
        <f t="shared" si="2"/>
        <v>0.24371006889999808</v>
      </c>
      <c r="I6">
        <f t="shared" si="3"/>
        <v>1.7303932500000201</v>
      </c>
      <c r="J6">
        <f t="shared" si="4"/>
        <v>6.7606749999979954E-2</v>
      </c>
      <c r="K6">
        <f t="shared" si="5"/>
        <v>4.5706726455597892E-3</v>
      </c>
      <c r="M6">
        <f t="shared" si="6"/>
        <v>1.9455553249988498</v>
      </c>
      <c r="N6">
        <f t="shared" si="7"/>
        <v>0.14755532499884971</v>
      </c>
      <c r="O6">
        <f t="shared" si="8"/>
        <v>2.1772573935516164E-2</v>
      </c>
      <c r="Q6" s="10">
        <f t="shared" si="9"/>
        <v>1.8560852282244014</v>
      </c>
      <c r="R6">
        <f t="shared" si="10"/>
        <v>5.808522822440132E-2</v>
      </c>
      <c r="S6">
        <f t="shared" si="11"/>
        <v>3.3738937378807875E-3</v>
      </c>
      <c r="U6">
        <f t="shared" si="12"/>
        <v>1.8556393561884761</v>
      </c>
      <c r="V6">
        <f t="shared" si="13"/>
        <v>5.7639356188476043E-2</v>
      </c>
      <c r="W6">
        <f t="shared" si="14"/>
        <v>3.3222953818220114E-3</v>
      </c>
      <c r="Y6">
        <f t="shared" si="15"/>
        <v>1.8211428187787533</v>
      </c>
      <c r="Z6">
        <f t="shared" si="16"/>
        <v>2.3142818778753238E-2</v>
      </c>
      <c r="AA6">
        <f t="shared" si="17"/>
        <v>5.3559006102621356E-4</v>
      </c>
    </row>
    <row r="7" spans="1:27" x14ac:dyDescent="0.35">
      <c r="A7" s="3">
        <v>74.37</v>
      </c>
      <c r="B7" s="8">
        <v>1.804</v>
      </c>
      <c r="C7">
        <v>0</v>
      </c>
      <c r="E7">
        <f t="shared" si="0"/>
        <v>2.2630259999999982</v>
      </c>
      <c r="F7">
        <f t="shared" si="1"/>
        <v>0.45902599999999816</v>
      </c>
      <c r="G7">
        <f t="shared" si="2"/>
        <v>0.2107048686759983</v>
      </c>
      <c r="I7">
        <f t="shared" si="3"/>
        <v>1.7034353300000191</v>
      </c>
      <c r="J7">
        <f t="shared" si="4"/>
        <v>0.10056466999998093</v>
      </c>
      <c r="K7">
        <f t="shared" si="5"/>
        <v>1.0113252852205063E-2</v>
      </c>
      <c r="M7">
        <f t="shared" si="6"/>
        <v>1.9304545595325635</v>
      </c>
      <c r="N7">
        <f t="shared" si="7"/>
        <v>0.12645455953256346</v>
      </c>
      <c r="O7">
        <f t="shared" si="8"/>
        <v>1.5990755626574635E-2</v>
      </c>
      <c r="Q7" s="10">
        <f t="shared" si="9"/>
        <v>1.8638708878570469</v>
      </c>
      <c r="R7">
        <f t="shared" si="10"/>
        <v>5.9870887857046862E-2</v>
      </c>
      <c r="S7">
        <f t="shared" si="11"/>
        <v>3.5845232127910812E-3</v>
      </c>
      <c r="U7">
        <f t="shared" si="12"/>
        <v>1.8938036784529686</v>
      </c>
      <c r="V7">
        <f t="shared" si="13"/>
        <v>8.9803678452968549E-2</v>
      </c>
      <c r="W7">
        <f t="shared" si="14"/>
        <v>8.0647006636841677E-3</v>
      </c>
      <c r="Y7">
        <f t="shared" si="15"/>
        <v>1.847384225577116</v>
      </c>
      <c r="Z7">
        <f t="shared" si="16"/>
        <v>4.3384225577115965E-2</v>
      </c>
      <c r="AA7">
        <f t="shared" si="17"/>
        <v>1.882191028926083E-3</v>
      </c>
    </row>
    <row r="8" spans="1:27" ht="15" thickBot="1" x14ac:dyDescent="0.4">
      <c r="A8" s="3">
        <v>75.19</v>
      </c>
      <c r="B8" s="8">
        <v>1.9610000000000001</v>
      </c>
      <c r="C8">
        <v>0</v>
      </c>
      <c r="E8">
        <f t="shared" si="0"/>
        <v>2.1562619999999999</v>
      </c>
      <c r="F8">
        <f>ABS(B8-E8)</f>
        <v>0.19526199999999982</v>
      </c>
      <c r="G8">
        <f t="shared" si="2"/>
        <v>3.8127248643999932E-2</v>
      </c>
      <c r="I8">
        <f t="shared" si="3"/>
        <v>1.6248727699999677</v>
      </c>
      <c r="J8">
        <f t="shared" si="4"/>
        <v>0.33612723000003242</v>
      </c>
      <c r="K8">
        <f t="shared" si="5"/>
        <v>0.1129815147474947</v>
      </c>
      <c r="M8">
        <f t="shared" si="6"/>
        <v>1.8922632654682729</v>
      </c>
      <c r="N8">
        <f t="shared" si="7"/>
        <v>6.8736734531727128E-2</v>
      </c>
      <c r="O8">
        <f t="shared" si="8"/>
        <v>4.7247386740851289E-3</v>
      </c>
      <c r="Q8" s="10">
        <f t="shared" si="9"/>
        <v>1.9565988174435915</v>
      </c>
      <c r="R8">
        <f t="shared" si="10"/>
        <v>4.4011825564085338E-3</v>
      </c>
      <c r="S8">
        <f t="shared" si="11"/>
        <v>1.9370407894834756E-5</v>
      </c>
      <c r="U8">
        <f t="shared" si="12"/>
        <v>2.0562739903107285</v>
      </c>
      <c r="V8">
        <f t="shared" si="13"/>
        <v>9.5273990310728474E-2</v>
      </c>
      <c r="W8">
        <f t="shared" si="14"/>
        <v>9.0771332297287823E-3</v>
      </c>
      <c r="Y8">
        <f t="shared" si="15"/>
        <v>1.9458717964589596</v>
      </c>
      <c r="Z8">
        <f t="shared" si="16"/>
        <v>1.5128203541040497E-2</v>
      </c>
      <c r="AA8">
        <f t="shared" si="17"/>
        <v>2.2886254237915022E-4</v>
      </c>
    </row>
    <row r="9" spans="1:27" ht="15" thickBot="1" x14ac:dyDescent="0.4">
      <c r="A9" s="3">
        <v>75.349999999999994</v>
      </c>
      <c r="B9" s="1">
        <v>1.984</v>
      </c>
      <c r="C9">
        <v>0</v>
      </c>
      <c r="E9">
        <f t="shared" si="0"/>
        <v>2.1354299999999995</v>
      </c>
      <c r="F9">
        <f t="shared" si="1"/>
        <v>0.15142999999999951</v>
      </c>
      <c r="G9">
        <f t="shared" si="2"/>
        <v>2.293104489999985E-2</v>
      </c>
      <c r="I9">
        <f t="shared" si="3"/>
        <v>1.6135732500000017</v>
      </c>
      <c r="J9">
        <f t="shared" si="4"/>
        <v>0.37042674999999825</v>
      </c>
      <c r="K9">
        <f t="shared" si="5"/>
        <v>0.13721597711556122</v>
      </c>
      <c r="M9">
        <f t="shared" si="6"/>
        <v>1.8876984578889733</v>
      </c>
      <c r="N9">
        <f t="shared" si="7"/>
        <v>9.6301542111026706E-2</v>
      </c>
      <c r="O9">
        <f t="shared" si="8"/>
        <v>9.2739870129618495E-3</v>
      </c>
      <c r="Q9" s="10">
        <f t="shared" si="9"/>
        <v>1.9840051309583941</v>
      </c>
      <c r="R9">
        <f t="shared" si="10"/>
        <v>5.1309583941616665E-6</v>
      </c>
      <c r="S9">
        <f t="shared" si="11"/>
        <v>2.6326734042618067E-11</v>
      </c>
      <c r="U9">
        <f t="shared" si="12"/>
        <v>2.0865963185206056</v>
      </c>
      <c r="V9">
        <f t="shared" si="13"/>
        <v>0.10259631852060558</v>
      </c>
      <c r="W9">
        <f t="shared" si="14"/>
        <v>1.0526004573981555E-2</v>
      </c>
      <c r="Y9">
        <f t="shared" si="15"/>
        <v>1.9628747813403606</v>
      </c>
      <c r="Z9">
        <f t="shared" si="16"/>
        <v>2.1125218659639344E-2</v>
      </c>
      <c r="AA9">
        <f t="shared" si="17"/>
        <v>4.4627486341757434E-4</v>
      </c>
    </row>
    <row r="10" spans="1:27" ht="15" thickBot="1" x14ac:dyDescent="0.4">
      <c r="A10" s="3">
        <v>75.98</v>
      </c>
      <c r="B10" s="1">
        <v>2.016</v>
      </c>
      <c r="C10">
        <v>0</v>
      </c>
      <c r="E10">
        <f t="shared" si="0"/>
        <v>2.0534039999999987</v>
      </c>
      <c r="F10">
        <f t="shared" si="1"/>
        <v>3.7403999999998661E-2</v>
      </c>
      <c r="G10">
        <f t="shared" si="2"/>
        <v>1.3990592159998998E-3</v>
      </c>
      <c r="I10">
        <f t="shared" si="3"/>
        <v>1.5818722799999989</v>
      </c>
      <c r="J10">
        <f t="shared" si="4"/>
        <v>0.4341277200000011</v>
      </c>
      <c r="K10">
        <f t="shared" si="5"/>
        <v>0.18846687727239936</v>
      </c>
      <c r="M10">
        <f t="shared" si="6"/>
        <v>1.877016644494006</v>
      </c>
      <c r="N10">
        <f t="shared" si="7"/>
        <v>0.13898335550599406</v>
      </c>
      <c r="O10">
        <f t="shared" si="8"/>
        <v>1.9316373107705526E-2</v>
      </c>
      <c r="Q10" s="10">
        <f t="shared" si="9"/>
        <v>2.1078869775083149</v>
      </c>
      <c r="R10">
        <f t="shared" si="10"/>
        <v>9.1886977508314871E-2</v>
      </c>
      <c r="S10">
        <f t="shared" si="11"/>
        <v>8.4432166356135634E-3</v>
      </c>
      <c r="U10">
        <f t="shared" si="12"/>
        <v>2.1821921616792679</v>
      </c>
      <c r="V10">
        <f t="shared" si="13"/>
        <v>0.16619216167926787</v>
      </c>
      <c r="W10">
        <f t="shared" si="14"/>
        <v>2.7619834603627911E-2</v>
      </c>
      <c r="Y10">
        <f t="shared" si="15"/>
        <v>2.0171616040170193</v>
      </c>
      <c r="Z10">
        <f t="shared" si="16"/>
        <v>1.1616040170192576E-3</v>
      </c>
      <c r="AA10">
        <f t="shared" si="17"/>
        <v>1.3493238923552759E-6</v>
      </c>
    </row>
    <row r="11" spans="1:27" ht="15" thickBot="1" x14ac:dyDescent="0.4">
      <c r="A11" s="3">
        <v>76.31</v>
      </c>
      <c r="B11" s="1">
        <v>2.0030000000000001</v>
      </c>
      <c r="C11">
        <v>0</v>
      </c>
      <c r="E11">
        <f t="shared" si="0"/>
        <v>2.0104379999999988</v>
      </c>
      <c r="F11">
        <f t="shared" si="1"/>
        <v>7.4379999999987234E-3</v>
      </c>
      <c r="G11">
        <f t="shared" si="2"/>
        <v>5.5323843999981007E-5</v>
      </c>
      <c r="I11">
        <f t="shared" si="3"/>
        <v>1.5734087700000146</v>
      </c>
      <c r="J11">
        <f t="shared" si="4"/>
        <v>0.42959122999998556</v>
      </c>
      <c r="K11">
        <f t="shared" si="5"/>
        <v>0.1845486248929005</v>
      </c>
      <c r="M11">
        <f t="shared" si="6"/>
        <v>1.8752341136330415</v>
      </c>
      <c r="N11">
        <f t="shared" si="7"/>
        <v>0.12776588636695863</v>
      </c>
      <c r="O11">
        <f t="shared" si="8"/>
        <v>1.6324121719134582E-2</v>
      </c>
      <c r="Q11" s="10">
        <f t="shared" si="9"/>
        <v>2.175343561641057</v>
      </c>
      <c r="R11">
        <f t="shared" si="10"/>
        <v>0.17234356164105691</v>
      </c>
      <c r="S11">
        <f t="shared" si="11"/>
        <v>2.9702303239124782E-2</v>
      </c>
      <c r="U11">
        <f t="shared" si="12"/>
        <v>2.2104582861065865</v>
      </c>
      <c r="V11">
        <f t="shared" si="13"/>
        <v>0.20745828610658634</v>
      </c>
      <c r="W11">
        <f t="shared" si="14"/>
        <v>4.3038940474282236E-2</v>
      </c>
      <c r="Y11">
        <f t="shared" si="15"/>
        <v>2.0366730652749538</v>
      </c>
      <c r="Z11">
        <f t="shared" si="16"/>
        <v>3.3673065274953728E-2</v>
      </c>
      <c r="AA11">
        <f t="shared" si="17"/>
        <v>1.1338753250112947E-3</v>
      </c>
    </row>
    <row r="12" spans="1:27" ht="15" thickBot="1" x14ac:dyDescent="0.4">
      <c r="A12" s="4">
        <v>76.75</v>
      </c>
      <c r="B12" s="1">
        <v>2.0139999999999998</v>
      </c>
      <c r="C12">
        <v>0</v>
      </c>
      <c r="E12">
        <f t="shared" si="0"/>
        <v>1.9531499999999991</v>
      </c>
      <c r="F12">
        <f t="shared" si="1"/>
        <v>6.0850000000000737E-2</v>
      </c>
      <c r="G12">
        <f t="shared" si="2"/>
        <v>3.7027225000000898E-3</v>
      </c>
      <c r="I12">
        <f t="shared" si="3"/>
        <v>1.5708312499999977</v>
      </c>
      <c r="J12">
        <f t="shared" si="4"/>
        <v>0.44316875000000211</v>
      </c>
      <c r="K12">
        <f t="shared" si="5"/>
        <v>0.19639854097656437</v>
      </c>
      <c r="M12">
        <f t="shared" si="6"/>
        <v>1.8758267610940038</v>
      </c>
      <c r="N12">
        <f t="shared" si="7"/>
        <v>0.13817323890599598</v>
      </c>
      <c r="O12">
        <f t="shared" si="8"/>
        <v>1.9091843949773441E-2</v>
      </c>
      <c r="Q12" s="10">
        <f t="shared" si="9"/>
        <v>2.256172446112032</v>
      </c>
      <c r="R12">
        <f t="shared" si="10"/>
        <v>0.24217244611203226</v>
      </c>
      <c r="S12">
        <f t="shared" si="11"/>
        <v>5.8647493655885168E-2</v>
      </c>
      <c r="U12">
        <f t="shared" si="12"/>
        <v>2.2190333297476172</v>
      </c>
      <c r="V12">
        <f t="shared" si="13"/>
        <v>0.20503332974761745</v>
      </c>
      <c r="W12">
        <f t="shared" si="14"/>
        <v>4.203866630739523E-2</v>
      </c>
      <c r="Y12">
        <f t="shared" si="15"/>
        <v>2.0528526119887829</v>
      </c>
      <c r="Z12">
        <f t="shared" si="16"/>
        <v>3.8852611988783092E-2</v>
      </c>
      <c r="AA12">
        <f t="shared" si="17"/>
        <v>1.5095254583509317E-3</v>
      </c>
    </row>
    <row r="13" spans="1:27" ht="15" thickBot="1" x14ac:dyDescent="0.4">
      <c r="A13" s="4">
        <v>76.900000000000006</v>
      </c>
      <c r="B13" s="1">
        <v>2.024</v>
      </c>
      <c r="C13">
        <v>0</v>
      </c>
      <c r="E13">
        <f t="shared" si="0"/>
        <v>1.9336199999999977</v>
      </c>
      <c r="F13">
        <f t="shared" si="1"/>
        <v>9.0380000000002347E-2</v>
      </c>
      <c r="G13">
        <f t="shared" si="2"/>
        <v>8.1685444000004249E-3</v>
      </c>
      <c r="I13">
        <f t="shared" si="3"/>
        <v>1.5722270000000265</v>
      </c>
      <c r="J13">
        <f t="shared" si="4"/>
        <v>0.45177299999997356</v>
      </c>
      <c r="K13">
        <f t="shared" si="5"/>
        <v>0.20409884352897611</v>
      </c>
      <c r="M13">
        <f t="shared" si="6"/>
        <v>1.8766142274300819</v>
      </c>
      <c r="N13">
        <f t="shared" si="7"/>
        <v>0.14738577256991814</v>
      </c>
      <c r="O13">
        <f t="shared" si="8"/>
        <v>2.1722565956031635E-2</v>
      </c>
      <c r="Q13" s="10">
        <f t="shared" si="9"/>
        <v>2.2790219953312771</v>
      </c>
      <c r="R13">
        <f t="shared" si="10"/>
        <v>0.25502199533127712</v>
      </c>
      <c r="S13">
        <f t="shared" si="11"/>
        <v>6.503621810274593E-2</v>
      </c>
      <c r="U13">
        <f t="shared" si="12"/>
        <v>2.2140143159776926</v>
      </c>
      <c r="V13">
        <f t="shared" si="13"/>
        <v>0.19001431597769258</v>
      </c>
      <c r="W13">
        <f t="shared" si="14"/>
        <v>3.6105440276470398E-2</v>
      </c>
      <c r="Y13">
        <f t="shared" si="15"/>
        <v>2.0557376109063625</v>
      </c>
      <c r="Z13">
        <f t="shared" si="16"/>
        <v>3.1737610906362512E-2</v>
      </c>
      <c r="AA13">
        <f t="shared" si="17"/>
        <v>1.0072759460436607E-3</v>
      </c>
    </row>
    <row r="14" spans="1:27" ht="15" thickBot="1" x14ac:dyDescent="0.4">
      <c r="A14" s="4">
        <v>77.180000000000007</v>
      </c>
      <c r="B14" s="1">
        <v>2.0419999999999998</v>
      </c>
      <c r="C14">
        <v>0</v>
      </c>
      <c r="E14">
        <f t="shared" si="0"/>
        <v>1.8971639999999983</v>
      </c>
      <c r="F14">
        <f t="shared" si="1"/>
        <v>0.14483600000000152</v>
      </c>
      <c r="G14">
        <f t="shared" si="2"/>
        <v>2.0977466896000441E-2</v>
      </c>
      <c r="I14">
        <f t="shared" si="3"/>
        <v>1.5779266800000187</v>
      </c>
      <c r="J14">
        <f t="shared" si="4"/>
        <v>0.46407331999998114</v>
      </c>
      <c r="K14">
        <f t="shared" si="5"/>
        <v>0.21536404633580489</v>
      </c>
      <c r="M14">
        <f t="shared" si="6"/>
        <v>1.878635895074467</v>
      </c>
      <c r="N14">
        <f t="shared" si="7"/>
        <v>0.16336410492553277</v>
      </c>
      <c r="O14">
        <f t="shared" si="8"/>
        <v>2.668783077812048E-2</v>
      </c>
      <c r="Q14" s="10">
        <f t="shared" si="9"/>
        <v>2.311992437185836</v>
      </c>
      <c r="R14">
        <f t="shared" si="10"/>
        <v>0.26999243718583621</v>
      </c>
      <c r="S14">
        <f t="shared" si="11"/>
        <v>7.2895916137547714E-2</v>
      </c>
      <c r="U14">
        <f t="shared" si="12"/>
        <v>2.194194121286273</v>
      </c>
      <c r="V14">
        <f t="shared" si="13"/>
        <v>0.15219412128627319</v>
      </c>
      <c r="W14">
        <f t="shared" si="14"/>
        <v>2.3163050554100832E-2</v>
      </c>
      <c r="Y14">
        <f t="shared" si="15"/>
        <v>2.0572428070008755</v>
      </c>
      <c r="Z14">
        <f t="shared" si="16"/>
        <v>1.5242807000875658E-2</v>
      </c>
      <c r="AA14">
        <f t="shared" si="17"/>
        <v>2.3234316526594398E-4</v>
      </c>
    </row>
    <row r="15" spans="1:27" ht="15" thickBot="1" x14ac:dyDescent="0.4">
      <c r="A15" s="4">
        <v>78.489999999999995</v>
      </c>
      <c r="B15" s="1">
        <v>1.9830000000000001</v>
      </c>
      <c r="C15">
        <v>0</v>
      </c>
      <c r="E15">
        <f t="shared" si="0"/>
        <v>1.7266019999999997</v>
      </c>
      <c r="F15">
        <f t="shared" si="1"/>
        <v>0.25639800000000035</v>
      </c>
      <c r="G15">
        <f t="shared" si="2"/>
        <v>6.573993440400018E-2</v>
      </c>
      <c r="I15">
        <f t="shared" si="3"/>
        <v>1.658123570000015</v>
      </c>
      <c r="J15">
        <f t="shared" si="4"/>
        <v>0.32487642999998512</v>
      </c>
      <c r="K15">
        <f t="shared" si="5"/>
        <v>0.10554469476953524</v>
      </c>
      <c r="M15">
        <f t="shared" si="6"/>
        <v>1.8891721850402519</v>
      </c>
      <c r="N15">
        <f t="shared" si="7"/>
        <v>9.3827814959748235E-2</v>
      </c>
      <c r="O15">
        <f t="shared" si="8"/>
        <v>8.8036588601207548E-3</v>
      </c>
      <c r="Q15" s="10">
        <f t="shared" si="9"/>
        <v>2.1671149344329024</v>
      </c>
      <c r="R15">
        <f t="shared" si="10"/>
        <v>0.18411493443290228</v>
      </c>
      <c r="S15">
        <f t="shared" si="11"/>
        <v>3.3898309081231905E-2</v>
      </c>
      <c r="U15">
        <f t="shared" si="12"/>
        <v>1.993985646404326</v>
      </c>
      <c r="V15">
        <f t="shared" si="13"/>
        <v>1.0985646404325866E-2</v>
      </c>
      <c r="W15">
        <f t="shared" si="14"/>
        <v>1.2068442692087783E-4</v>
      </c>
      <c r="Y15">
        <f t="shared" si="15"/>
        <v>1.9489119313657284</v>
      </c>
      <c r="Z15">
        <f t="shared" si="16"/>
        <v>3.4088068634271718E-2</v>
      </c>
      <c r="AA15">
        <f t="shared" si="17"/>
        <v>1.1619964232148193E-3</v>
      </c>
    </row>
    <row r="16" spans="1:27" ht="15" thickBot="1" x14ac:dyDescent="0.4">
      <c r="B16" s="9"/>
      <c r="C16">
        <f>60/74</f>
        <v>0.81081081081081086</v>
      </c>
      <c r="F16" t="s">
        <v>45</v>
      </c>
      <c r="G16" t="s">
        <v>46</v>
      </c>
      <c r="J16" t="s">
        <v>45</v>
      </c>
      <c r="K16" t="s">
        <v>46</v>
      </c>
      <c r="N16" t="s">
        <v>45</v>
      </c>
      <c r="O16" t="s">
        <v>46</v>
      </c>
      <c r="R16" t="s">
        <v>45</v>
      </c>
      <c r="S16" t="s">
        <v>46</v>
      </c>
      <c r="V16" t="s">
        <v>45</v>
      </c>
      <c r="W16" t="s">
        <v>46</v>
      </c>
      <c r="Z16" t="s">
        <v>45</v>
      </c>
      <c r="AA16" t="s">
        <v>46</v>
      </c>
    </row>
    <row r="17" spans="1:27" ht="15" thickBot="1" x14ac:dyDescent="0.4">
      <c r="A17" s="3">
        <v>68.14</v>
      </c>
      <c r="B17" s="9">
        <v>3.1480000000000001</v>
      </c>
      <c r="C17">
        <v>1</v>
      </c>
      <c r="F17">
        <f>MAX(F2:F15)</f>
        <v>0.64745000000000053</v>
      </c>
      <c r="G17">
        <f>SUM(G2:G15)</f>
        <v>1.9233732016039937</v>
      </c>
      <c r="J17">
        <f>MAX(J2:J15)</f>
        <v>0.72001875000000792</v>
      </c>
      <c r="K17">
        <f>SUM(K2:K15)</f>
        <v>2.3967913723016223</v>
      </c>
      <c r="N17">
        <f>MAX(N2:N15)</f>
        <v>0.57479123453145986</v>
      </c>
      <c r="O17">
        <f>SUM(O2:O15)</f>
        <v>0.93254713882396656</v>
      </c>
      <c r="R17">
        <f>MAX(R2:R15)</f>
        <v>0.42443473283445909</v>
      </c>
      <c r="S17">
        <f>SUM(S2:S15)</f>
        <v>0.73965775968569214</v>
      </c>
      <c r="V17">
        <f>MAX(V2:V15)</f>
        <v>0.30738485167920571</v>
      </c>
      <c r="W17">
        <f>SUM(W2:W15)</f>
        <v>0.40194501075128886</v>
      </c>
      <c r="Z17">
        <f>MAX(Z2:Z15)</f>
        <v>0.2675324174463749</v>
      </c>
      <c r="AA17">
        <f>SUM(AA2:AA15)</f>
        <v>0.17724599106750538</v>
      </c>
    </row>
    <row r="18" spans="1:27" ht="15" thickBot="1" x14ac:dyDescent="0.4">
      <c r="A18" s="3">
        <v>68.33</v>
      </c>
      <c r="B18" s="9">
        <v>3.2029999999999998</v>
      </c>
      <c r="C18">
        <v>1</v>
      </c>
    </row>
    <row r="19" spans="1:27" ht="15" thickBot="1" x14ac:dyDescent="0.4">
      <c r="A19" s="3">
        <v>68.52</v>
      </c>
      <c r="B19" s="9">
        <v>3.2570000000000001</v>
      </c>
      <c r="C19">
        <v>1</v>
      </c>
    </row>
    <row r="20" spans="1:27" ht="15" thickBot="1" x14ac:dyDescent="0.4">
      <c r="A20" s="3">
        <v>68.709999999999994</v>
      </c>
      <c r="B20" s="9">
        <v>3.3109999999999999</v>
      </c>
      <c r="C20">
        <v>1</v>
      </c>
    </row>
    <row r="21" spans="1:27" ht="15" thickBot="1" x14ac:dyDescent="0.4">
      <c r="A21" s="3">
        <v>68.900000000000006</v>
      </c>
      <c r="B21" s="9">
        <v>3.3650000000000002</v>
      </c>
      <c r="C21">
        <v>1</v>
      </c>
    </row>
    <row r="22" spans="1:27" ht="15" thickBot="1" x14ac:dyDescent="0.4">
      <c r="A22" s="3">
        <v>69.09</v>
      </c>
      <c r="B22" s="9">
        <v>3.419</v>
      </c>
      <c r="C22">
        <v>1</v>
      </c>
      <c r="T22" s="3"/>
    </row>
    <row r="23" spans="1:27" ht="15" thickBot="1" x14ac:dyDescent="0.4">
      <c r="A23" s="3">
        <v>69.28</v>
      </c>
      <c r="B23" s="9">
        <v>3.4740000000000002</v>
      </c>
      <c r="C23">
        <v>1</v>
      </c>
      <c r="T23" s="3"/>
    </row>
    <row r="24" spans="1:27" ht="15" thickBot="1" x14ac:dyDescent="0.4">
      <c r="A24" s="3">
        <v>69.47</v>
      </c>
      <c r="B24" s="1">
        <v>3.528</v>
      </c>
      <c r="C24">
        <v>1</v>
      </c>
      <c r="T24" s="3"/>
    </row>
    <row r="25" spans="1:27" ht="15" thickBot="1" x14ac:dyDescent="0.4">
      <c r="A25" s="3">
        <v>69.66</v>
      </c>
      <c r="B25" s="1">
        <v>3.5819999999999999</v>
      </c>
      <c r="C25">
        <v>1</v>
      </c>
      <c r="T25" s="3"/>
    </row>
    <row r="26" spans="1:27" ht="15" thickBot="1" x14ac:dyDescent="0.4">
      <c r="A26" s="3">
        <v>69.930000000000007</v>
      </c>
      <c r="B26" s="1">
        <v>3.3730000000000002</v>
      </c>
      <c r="C26">
        <v>1</v>
      </c>
      <c r="T26" s="3"/>
    </row>
    <row r="27" spans="1:27" ht="15" thickBot="1" x14ac:dyDescent="0.4">
      <c r="A27" s="3">
        <v>70.02</v>
      </c>
      <c r="B27" s="1">
        <v>3.3039999999999998</v>
      </c>
      <c r="C27">
        <v>1</v>
      </c>
      <c r="T27" s="3"/>
    </row>
    <row r="28" spans="1:27" ht="15" thickBot="1" x14ac:dyDescent="0.4">
      <c r="A28" s="3">
        <v>70.11</v>
      </c>
      <c r="B28" s="1">
        <v>3.234</v>
      </c>
      <c r="C28">
        <v>1</v>
      </c>
      <c r="T28" s="3"/>
    </row>
    <row r="29" spans="1:27" ht="15" thickBot="1" x14ac:dyDescent="0.4">
      <c r="A29" s="3">
        <v>70.16</v>
      </c>
      <c r="B29" s="1">
        <v>3.0960000000000001</v>
      </c>
      <c r="C29">
        <v>1</v>
      </c>
      <c r="T29" s="3"/>
    </row>
    <row r="30" spans="1:27" ht="15" thickBot="1" x14ac:dyDescent="0.4">
      <c r="A30" s="3">
        <v>70.209999999999994</v>
      </c>
      <c r="B30" s="1">
        <v>2.9580000000000002</v>
      </c>
      <c r="C30">
        <v>1</v>
      </c>
      <c r="T30" s="3"/>
    </row>
    <row r="31" spans="1:27" ht="15" thickBot="1" x14ac:dyDescent="0.4">
      <c r="A31" s="3">
        <v>70.260000000000005</v>
      </c>
      <c r="B31" s="1">
        <v>2.819</v>
      </c>
      <c r="C31">
        <v>1</v>
      </c>
      <c r="T31" s="3"/>
    </row>
    <row r="32" spans="1:27" ht="15" thickBot="1" x14ac:dyDescent="0.4">
      <c r="A32" s="3">
        <v>70.31</v>
      </c>
      <c r="B32" s="1">
        <v>2.681</v>
      </c>
      <c r="C32">
        <v>1</v>
      </c>
      <c r="T32" s="3"/>
    </row>
    <row r="33" spans="1:20" ht="15" thickBot="1" x14ac:dyDescent="0.4">
      <c r="A33" s="3">
        <v>70.36</v>
      </c>
      <c r="B33" s="1">
        <v>2.5430000000000001</v>
      </c>
      <c r="C33">
        <v>1</v>
      </c>
      <c r="T33" s="4"/>
    </row>
    <row r="34" spans="1:20" ht="15" thickBot="1" x14ac:dyDescent="0.4">
      <c r="A34" s="3">
        <v>70.569999999999993</v>
      </c>
      <c r="B34" s="1">
        <v>2.44</v>
      </c>
      <c r="C34">
        <v>1</v>
      </c>
      <c r="T34" s="4"/>
    </row>
    <row r="35" spans="1:20" ht="15" thickBot="1" x14ac:dyDescent="0.4">
      <c r="A35" s="3">
        <v>71</v>
      </c>
      <c r="B35" s="1">
        <v>2.2349999999999999</v>
      </c>
      <c r="C35">
        <v>1</v>
      </c>
      <c r="T35" s="4"/>
    </row>
    <row r="36" spans="1:20" ht="15" thickBot="1" x14ac:dyDescent="0.4">
      <c r="A36" s="3">
        <v>71.209999999999994</v>
      </c>
      <c r="B36" s="1">
        <v>2.1320000000000001</v>
      </c>
      <c r="C36">
        <v>1</v>
      </c>
      <c r="T36" s="4"/>
    </row>
    <row r="37" spans="1:20" ht="15" thickBot="1" x14ac:dyDescent="0.4">
      <c r="A37" s="3">
        <v>71.42</v>
      </c>
      <c r="B37" s="1">
        <v>2.0289999999999999</v>
      </c>
      <c r="C37">
        <v>1</v>
      </c>
    </row>
    <row r="38" spans="1:20" ht="15" thickBot="1" x14ac:dyDescent="0.4">
      <c r="A38" s="3">
        <v>72.150000000000006</v>
      </c>
      <c r="B38" s="1">
        <v>1.9259999999999999</v>
      </c>
      <c r="C38">
        <v>1</v>
      </c>
    </row>
    <row r="39" spans="1:20" ht="15" thickBot="1" x14ac:dyDescent="0.4">
      <c r="A39" s="3">
        <v>72.52</v>
      </c>
      <c r="B39" s="1">
        <v>1.875</v>
      </c>
      <c r="C39">
        <v>1</v>
      </c>
    </row>
    <row r="40" spans="1:20" ht="15" thickBot="1" x14ac:dyDescent="0.4">
      <c r="A40" s="3">
        <v>72.88</v>
      </c>
      <c r="B40" s="1">
        <v>1.823</v>
      </c>
      <c r="C40">
        <v>1</v>
      </c>
    </row>
    <row r="41" spans="1:20" ht="15" thickBot="1" x14ac:dyDescent="0.4">
      <c r="A41" s="3">
        <v>73.25</v>
      </c>
      <c r="B41" s="1">
        <v>1.772</v>
      </c>
      <c r="C41">
        <v>1</v>
      </c>
    </row>
    <row r="42" spans="1:20" ht="15" thickBot="1" x14ac:dyDescent="0.4">
      <c r="A42" s="3">
        <v>73.47</v>
      </c>
      <c r="B42" s="1">
        <v>1.778</v>
      </c>
      <c r="C42">
        <v>1</v>
      </c>
    </row>
    <row r="43" spans="1:20" ht="15" thickBot="1" x14ac:dyDescent="0.4">
      <c r="A43" s="3">
        <v>73.7</v>
      </c>
      <c r="B43" s="1">
        <v>1.7849999999999999</v>
      </c>
      <c r="C43">
        <v>1</v>
      </c>
    </row>
    <row r="44" spans="1:20" ht="15" thickBot="1" x14ac:dyDescent="0.4">
      <c r="A44" s="3">
        <v>73.92</v>
      </c>
      <c r="B44" s="1">
        <v>1.7909999999999999</v>
      </c>
      <c r="C44">
        <v>1</v>
      </c>
    </row>
    <row r="45" spans="1:20" ht="15" thickBot="1" x14ac:dyDescent="0.4">
      <c r="A45" s="3">
        <v>74.47</v>
      </c>
      <c r="B45" s="1">
        <v>1.8260000000000001</v>
      </c>
      <c r="C45">
        <v>1</v>
      </c>
    </row>
    <row r="46" spans="1:20" ht="15" thickBot="1" x14ac:dyDescent="0.4">
      <c r="A46" s="3">
        <v>74.58</v>
      </c>
      <c r="B46" s="1">
        <v>1.8480000000000001</v>
      </c>
      <c r="C46">
        <v>1</v>
      </c>
    </row>
    <row r="47" spans="1:20" ht="15" thickBot="1" x14ac:dyDescent="0.4">
      <c r="A47" s="3">
        <v>74.680000000000007</v>
      </c>
      <c r="B47" s="1">
        <v>1.871</v>
      </c>
      <c r="C47">
        <v>1</v>
      </c>
    </row>
    <row r="48" spans="1:20" ht="15" thickBot="1" x14ac:dyDescent="0.4">
      <c r="A48" s="3">
        <v>74.790000000000006</v>
      </c>
      <c r="B48" s="1">
        <v>1.893</v>
      </c>
      <c r="C48">
        <v>1</v>
      </c>
    </row>
    <row r="49" spans="1:3" ht="15" thickBot="1" x14ac:dyDescent="0.4">
      <c r="A49" s="3">
        <v>74.89</v>
      </c>
      <c r="B49" s="1">
        <v>1.915</v>
      </c>
      <c r="C49">
        <v>1</v>
      </c>
    </row>
    <row r="50" spans="1:3" ht="15" thickBot="1" x14ac:dyDescent="0.4">
      <c r="A50" s="3">
        <v>75.040000000000006</v>
      </c>
      <c r="B50" s="1">
        <v>1.9379999999999999</v>
      </c>
      <c r="C50">
        <v>1</v>
      </c>
    </row>
    <row r="51" spans="1:3" ht="15" thickBot="1" x14ac:dyDescent="0.4">
      <c r="A51" s="3">
        <v>75.5</v>
      </c>
      <c r="B51" s="1">
        <v>2.0070000000000001</v>
      </c>
      <c r="C51">
        <v>1</v>
      </c>
    </row>
    <row r="52" spans="1:3" ht="15" thickBot="1" x14ac:dyDescent="0.4">
      <c r="A52" s="3">
        <v>75.650000000000006</v>
      </c>
      <c r="B52" s="1">
        <v>2.0299999999999998</v>
      </c>
      <c r="C52">
        <v>1</v>
      </c>
    </row>
    <row r="53" spans="1:3" ht="15" thickBot="1" x14ac:dyDescent="0.4">
      <c r="A53" s="3">
        <v>75.81</v>
      </c>
      <c r="B53" s="1">
        <v>2.0230000000000001</v>
      </c>
      <c r="C53">
        <v>1</v>
      </c>
    </row>
    <row r="54" spans="1:3" ht="15" thickBot="1" x14ac:dyDescent="0.4">
      <c r="A54" s="3">
        <v>76.14</v>
      </c>
      <c r="B54" s="1">
        <v>2.0099999999999998</v>
      </c>
      <c r="C54">
        <v>1</v>
      </c>
    </row>
    <row r="55" spans="1:3" ht="15" thickBot="1" x14ac:dyDescent="0.4">
      <c r="A55" s="3">
        <v>76.47</v>
      </c>
      <c r="B55" s="1">
        <v>1.996</v>
      </c>
      <c r="C55">
        <v>1</v>
      </c>
    </row>
    <row r="56" spans="1:3" ht="15" thickBot="1" x14ac:dyDescent="0.4">
      <c r="A56" s="4">
        <v>76.61</v>
      </c>
      <c r="B56" s="1">
        <v>2.0049999999999999</v>
      </c>
      <c r="C56">
        <v>1</v>
      </c>
    </row>
    <row r="57" spans="1:3" ht="15" thickBot="1" x14ac:dyDescent="0.4">
      <c r="A57" s="4">
        <v>77.040000000000006</v>
      </c>
      <c r="B57" s="1">
        <v>2.0329999999999999</v>
      </c>
      <c r="C57">
        <v>1</v>
      </c>
    </row>
    <row r="58" spans="1:3" ht="15" thickBot="1" x14ac:dyDescent="0.4">
      <c r="A58" s="4">
        <v>77.38</v>
      </c>
      <c r="B58" s="1">
        <v>2.0449999999999999</v>
      </c>
      <c r="C58">
        <v>1</v>
      </c>
    </row>
    <row r="59" spans="1:3" ht="15" thickBot="1" x14ac:dyDescent="0.4">
      <c r="A59" s="4">
        <v>77.58</v>
      </c>
      <c r="B59" s="1">
        <v>2.0470000000000002</v>
      </c>
      <c r="C59">
        <v>1</v>
      </c>
    </row>
    <row r="60" spans="1:3" ht="15" thickBot="1" x14ac:dyDescent="0.4">
      <c r="A60" s="4">
        <v>77.790000000000006</v>
      </c>
      <c r="B60" s="1">
        <v>2.0499999999999998</v>
      </c>
      <c r="C60">
        <v>1</v>
      </c>
    </row>
    <row r="61" spans="1:3" ht="15" thickBot="1" x14ac:dyDescent="0.4">
      <c r="A61" s="4">
        <v>77.989999999999995</v>
      </c>
      <c r="B61" s="1">
        <v>2.052</v>
      </c>
      <c r="C61">
        <v>1</v>
      </c>
    </row>
    <row r="62" spans="1:3" ht="15" thickBot="1" x14ac:dyDescent="0.4">
      <c r="A62" s="4">
        <v>78.19</v>
      </c>
      <c r="B62" s="1">
        <v>2.0550000000000002</v>
      </c>
      <c r="C62">
        <v>1</v>
      </c>
    </row>
    <row r="63" spans="1:3" ht="15" thickBot="1" x14ac:dyDescent="0.4">
      <c r="A63" s="4">
        <v>78.34</v>
      </c>
      <c r="B63" s="1">
        <v>2.0190000000000001</v>
      </c>
      <c r="C63">
        <v>1</v>
      </c>
    </row>
    <row r="64" spans="1:3" ht="15" thickBot="1" x14ac:dyDescent="0.4">
      <c r="A64" s="4">
        <v>78.64</v>
      </c>
      <c r="B64" s="1">
        <v>1.9470000000000001</v>
      </c>
      <c r="C64">
        <v>1</v>
      </c>
    </row>
    <row r="65" spans="1:3" ht="15" thickBot="1" x14ac:dyDescent="0.4">
      <c r="A65" s="4">
        <v>78.790000000000006</v>
      </c>
      <c r="B65" s="1">
        <v>1.911</v>
      </c>
      <c r="C65">
        <v>1</v>
      </c>
    </row>
    <row r="66" spans="1:3" ht="15" thickBot="1" x14ac:dyDescent="0.4">
      <c r="A66" s="4">
        <v>78.94</v>
      </c>
      <c r="B66" s="1">
        <v>1.875</v>
      </c>
      <c r="C66">
        <v>1</v>
      </c>
    </row>
    <row r="67" spans="1:3" ht="15" thickBot="1" x14ac:dyDescent="0.4">
      <c r="A67" s="4">
        <v>78.91</v>
      </c>
      <c r="B67" s="1">
        <v>1.855</v>
      </c>
      <c r="C67">
        <v>1</v>
      </c>
    </row>
    <row r="68" spans="1:3" ht="15" thickBot="1" x14ac:dyDescent="0.4">
      <c r="A68" s="4">
        <v>78.89</v>
      </c>
      <c r="B68" s="1">
        <v>1.835</v>
      </c>
      <c r="C68">
        <v>1</v>
      </c>
    </row>
    <row r="69" spans="1:3" ht="15" thickBot="1" x14ac:dyDescent="0.4">
      <c r="A69" s="4">
        <v>78.86</v>
      </c>
      <c r="B69" s="1">
        <v>1.8160000000000001</v>
      </c>
      <c r="C69">
        <v>1</v>
      </c>
    </row>
    <row r="70" spans="1:3" ht="15" thickBot="1" x14ac:dyDescent="0.4">
      <c r="A70" s="4">
        <v>78.84</v>
      </c>
      <c r="B70" s="1">
        <v>1.796</v>
      </c>
      <c r="C70">
        <v>1</v>
      </c>
    </row>
    <row r="71" spans="1:3" ht="15" thickBot="1" x14ac:dyDescent="0.4">
      <c r="A71" s="4">
        <v>78.81</v>
      </c>
      <c r="B71" s="1">
        <v>1.776</v>
      </c>
      <c r="C71">
        <v>1</v>
      </c>
    </row>
    <row r="72" spans="1:3" x14ac:dyDescent="0.35">
      <c r="A72" s="4">
        <v>78.87</v>
      </c>
      <c r="B72" s="8">
        <v>1.778</v>
      </c>
      <c r="C72">
        <v>1</v>
      </c>
    </row>
    <row r="73" spans="1:3" x14ac:dyDescent="0.35">
      <c r="A73" s="4">
        <v>78.930000000000007</v>
      </c>
      <c r="B73" s="2">
        <v>1.7789999999999999</v>
      </c>
      <c r="C73">
        <v>1</v>
      </c>
    </row>
    <row r="74" spans="1:3" x14ac:dyDescent="0.35">
      <c r="A74" s="4">
        <v>78.989999999999995</v>
      </c>
      <c r="B74" s="2">
        <v>1.7809999999999999</v>
      </c>
      <c r="C74">
        <v>1</v>
      </c>
    </row>
    <row r="75" spans="1:3" x14ac:dyDescent="0.35">
      <c r="A75" s="4">
        <v>79.05</v>
      </c>
      <c r="B75" s="2">
        <v>1.782</v>
      </c>
      <c r="C75">
        <v>1</v>
      </c>
    </row>
    <row r="76" spans="1:3" x14ac:dyDescent="0.35">
      <c r="A76" s="4">
        <v>79.11</v>
      </c>
      <c r="B76" s="2">
        <v>1.784</v>
      </c>
      <c r="C76">
        <v>1</v>
      </c>
    </row>
    <row r="77" spans="1:3" x14ac:dyDescent="0.35">
      <c r="C77">
        <f>SUM(C3:C76)</f>
        <v>60.810810810810807</v>
      </c>
    </row>
  </sheetData>
  <sortState xmlns:xlrd2="http://schemas.microsoft.com/office/spreadsheetml/2017/richdata2" ref="A2:C77">
    <sortCondition ref="C2:C7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E266-D43B-4FD7-918D-FD4A509300B2}">
  <dimension ref="A1:AA77"/>
  <sheetViews>
    <sheetView zoomScale="80" zoomScaleNormal="80" workbookViewId="0">
      <selection activeCell="AC1" sqref="AC1:AE59"/>
    </sheetView>
  </sheetViews>
  <sheetFormatPr defaultRowHeight="14.5" x14ac:dyDescent="0.35"/>
  <cols>
    <col min="1" max="1" width="21.1796875" style="3" bestFit="1" customWidth="1"/>
    <col min="2" max="2" width="18.7265625" style="2" bestFit="1" customWidth="1"/>
    <col min="17" max="17" width="11.81640625" bestFit="1" customWidth="1"/>
    <col min="21" max="21" width="12.81640625" bestFit="1" customWidth="1"/>
    <col min="25" max="25" width="11.453125" bestFit="1" customWidth="1"/>
    <col min="26" max="26" width="10.81640625" bestFit="1" customWidth="1"/>
  </cols>
  <sheetData>
    <row r="1" spans="1:27" x14ac:dyDescent="0.35">
      <c r="A1" s="3" t="s">
        <v>0</v>
      </c>
      <c r="B1" s="2" t="s">
        <v>1</v>
      </c>
      <c r="E1" t="s">
        <v>42</v>
      </c>
      <c r="F1" t="s">
        <v>41</v>
      </c>
      <c r="G1" t="s">
        <v>43</v>
      </c>
      <c r="I1" t="s">
        <v>44</v>
      </c>
      <c r="J1" t="s">
        <v>47</v>
      </c>
      <c r="K1" t="s">
        <v>52</v>
      </c>
      <c r="M1" t="s">
        <v>48</v>
      </c>
      <c r="N1" t="s">
        <v>47</v>
      </c>
      <c r="O1" t="s">
        <v>52</v>
      </c>
      <c r="Q1" t="s">
        <v>49</v>
      </c>
      <c r="R1" t="s">
        <v>47</v>
      </c>
      <c r="S1" t="s">
        <v>52</v>
      </c>
      <c r="U1" t="s">
        <v>50</v>
      </c>
      <c r="V1" t="s">
        <v>47</v>
      </c>
      <c r="W1" t="s">
        <v>52</v>
      </c>
      <c r="Y1" t="s">
        <v>51</v>
      </c>
      <c r="Z1" t="s">
        <v>47</v>
      </c>
      <c r="AA1" t="s">
        <v>52</v>
      </c>
    </row>
    <row r="2" spans="1:27" x14ac:dyDescent="0.35">
      <c r="A2" s="3">
        <v>69.09</v>
      </c>
      <c r="B2" s="2">
        <v>3.419</v>
      </c>
      <c r="C2">
        <v>0</v>
      </c>
      <c r="E2">
        <f>-0.1385*A2+12.563</f>
        <v>2.9940349999999984</v>
      </c>
      <c r="F2">
        <f>ABS(B2-E2)</f>
        <v>0.42496500000000159</v>
      </c>
      <c r="G2">
        <f>F2^2</f>
        <v>0.18059525122500136</v>
      </c>
      <c r="I2">
        <f>0.0257*A2^2-3.93*A2+152.33</f>
        <v>3.4834021700000051</v>
      </c>
      <c r="J2">
        <f>ABS(B2-I2)</f>
        <v>6.4402170000005032E-2</v>
      </c>
      <c r="K2">
        <f>J2^2</f>
        <v>4.1476395007095483E-3</v>
      </c>
      <c r="M2">
        <f>-0.00193406*A2^3+0.45468959*A2^2-35.61457187*A2+931.30135382</f>
        <v>3.273112108647183</v>
      </c>
      <c r="N2">
        <f>ABS(B2-M2)</f>
        <v>0.14588789135281699</v>
      </c>
      <c r="O2">
        <f>N2^2</f>
        <v>2.1283276843371335E-2</v>
      </c>
      <c r="Q2" s="10">
        <f>-0.00260264*A2^4+0.76420801*A2^3-84.04367876*A2^2+4102.64770403*A2-75002.29453868</f>
        <v>3.2798717370023951</v>
      </c>
      <c r="R2">
        <f>ABS(B2-Q2)</f>
        <v>0.13912826299760495</v>
      </c>
      <c r="S2">
        <f>R2^2</f>
        <v>1.9356673564730729E-2</v>
      </c>
      <c r="U2">
        <f>0.0006666103*A2^5-0.2480304274*A2^4+36.8840126449*A2^3-2740.1554555547*A2^2+101697.320696011*A2-1508425.31480431</f>
        <v>3.4915703749284148</v>
      </c>
      <c r="V2">
        <f>ABS(B2-U2)</f>
        <v>7.2570374928414783E-2</v>
      </c>
      <c r="W2">
        <f>V2^2</f>
        <v>5.266459317250693E-3</v>
      </c>
      <c r="Y2">
        <f>-0.00009478143053*A2^6+0.04254937051124*A2^5-7.95538274454816*A2^4+792.920233945437*A2^3-44433.9069978117*A2^2+1327346.89218026*A2-16512822.0790098</f>
        <v>3.6020235884934664</v>
      </c>
      <c r="Z2">
        <f>ABS(B2-Y2)</f>
        <v>0.18302358849346634</v>
      </c>
      <c r="AA2">
        <f>Z2^2</f>
        <v>3.3497633945025702E-2</v>
      </c>
    </row>
    <row r="3" spans="1:27" x14ac:dyDescent="0.35">
      <c r="A3" s="3">
        <v>70.16</v>
      </c>
      <c r="B3" s="8">
        <v>3.0960000000000001</v>
      </c>
      <c r="C3">
        <v>0</v>
      </c>
      <c r="E3">
        <f t="shared" ref="E3:E19" si="0">-0.1385*A3+12.563</f>
        <v>2.8458400000000008</v>
      </c>
      <c r="F3">
        <f t="shared" ref="F3:F19" si="1">ABS(B3-E3)</f>
        <v>0.25015999999999927</v>
      </c>
      <c r="G3">
        <f t="shared" ref="G3:G19" si="2">F3^2</f>
        <v>6.2580025599999631E-2</v>
      </c>
      <c r="I3">
        <f t="shared" ref="I3:I19" si="3">0.0257*A3^2-3.93*A3+152.33</f>
        <v>3.107537920000027</v>
      </c>
      <c r="J3">
        <f t="shared" ref="J3:J19" si="4">ABS(B3-I3)</f>
        <v>1.1537920000026958E-2</v>
      </c>
      <c r="K3">
        <f t="shared" ref="K3:K19" si="5">J3^2</f>
        <v>1.3312359792702207E-4</v>
      </c>
      <c r="M3">
        <f t="shared" ref="M3:M19" si="6">-0.00193406*A3^3+0.45468959*A3^2-35.61457187*A3+931.30135382</f>
        <v>2.8167747418342515</v>
      </c>
      <c r="N3">
        <f t="shared" ref="N3:N19" si="7">ABS(B3-M3)</f>
        <v>0.27922525816574861</v>
      </c>
      <c r="O3">
        <f t="shared" ref="O3:O19" si="8">N3^2</f>
        <v>7.7966744797728957E-2</v>
      </c>
      <c r="Q3" s="10">
        <f t="shared" ref="Q3:Q19" si="9">-0.00260264*A3^4+0.76420801*A3^3-84.04367876*A3^2+4102.64770403*A3-75002.29453868</f>
        <v>2.9089412512839772</v>
      </c>
      <c r="R3">
        <f t="shared" ref="R3:R19" si="10">ABS(B3-Q3)</f>
        <v>0.1870587487160229</v>
      </c>
      <c r="S3">
        <f t="shared" ref="S3:S19" si="11">R3^2</f>
        <v>3.4990975471204201E-2</v>
      </c>
      <c r="U3">
        <f t="shared" ref="U3:U19" si="12">0.0006666103*A3^5-0.2480304274*A3^4+36.8840126449*A3^3-2740.1554555547*A3^2+101697.320696011*A3-1508425.31480431</f>
        <v>3.0032686404883862</v>
      </c>
      <c r="V3">
        <f t="shared" ref="V3:V19" si="13">ABS(B3-U3)</f>
        <v>9.2731359511613931E-2</v>
      </c>
      <c r="W3">
        <f t="shared" ref="W3:W19" si="14">V3^2</f>
        <v>8.599105036872192E-3</v>
      </c>
      <c r="Y3">
        <f t="shared" ref="Y3:Y19" si="15">-0.00009478143053*A3^6+0.04254937051124*A3^5-7.95538274454816*A3^4+792.920233945437*A3^3-44433.9069978117*A3^2+1327346.89218026*A3-16512822.0790098</f>
        <v>3.0073969531804323</v>
      </c>
      <c r="Z3">
        <f t="shared" ref="Z3:Z19" si="16">ABS(B3-Y3)</f>
        <v>8.8603046819567766E-2</v>
      </c>
      <c r="AA3">
        <f t="shared" ref="AA3:AA19" si="17">Z3^2</f>
        <v>7.8504999057105174E-3</v>
      </c>
    </row>
    <row r="4" spans="1:27" x14ac:dyDescent="0.35">
      <c r="A4" s="3">
        <v>70.36</v>
      </c>
      <c r="B4" s="8">
        <v>2.5430000000000001</v>
      </c>
      <c r="C4">
        <v>0</v>
      </c>
      <c r="E4">
        <f t="shared" si="0"/>
        <v>2.8181399999999996</v>
      </c>
      <c r="F4">
        <f t="shared" si="1"/>
        <v>0.2751399999999995</v>
      </c>
      <c r="G4">
        <f t="shared" si="2"/>
        <v>7.5702019599999726E-2</v>
      </c>
      <c r="I4">
        <f t="shared" si="3"/>
        <v>3.043810719999982</v>
      </c>
      <c r="J4">
        <f t="shared" si="4"/>
        <v>0.50081071999998183</v>
      </c>
      <c r="K4">
        <f t="shared" si="5"/>
        <v>0.25081137726690023</v>
      </c>
      <c r="M4">
        <f t="shared" si="6"/>
        <v>2.7439980212009232</v>
      </c>
      <c r="N4">
        <f t="shared" si="7"/>
        <v>0.20099802120092303</v>
      </c>
      <c r="O4">
        <f t="shared" si="8"/>
        <v>4.0400204526686703E-2</v>
      </c>
      <c r="Q4" s="10">
        <f t="shared" si="9"/>
        <v>2.8160060044610873</v>
      </c>
      <c r="R4">
        <f t="shared" si="10"/>
        <v>0.27300600446108714</v>
      </c>
      <c r="S4">
        <f t="shared" si="11"/>
        <v>7.4532278471807129E-2</v>
      </c>
      <c r="U4">
        <f t="shared" si="12"/>
        <v>2.8659097272902727</v>
      </c>
      <c r="V4">
        <f t="shared" si="13"/>
        <v>0.32290972729027256</v>
      </c>
      <c r="W4">
        <f t="shared" si="14"/>
        <v>0.10427069197867819</v>
      </c>
      <c r="Y4">
        <f t="shared" si="15"/>
        <v>2.8527563083916903</v>
      </c>
      <c r="Z4">
        <f t="shared" si="16"/>
        <v>0.3097563083916901</v>
      </c>
      <c r="AA4">
        <f t="shared" si="17"/>
        <v>9.5948970588447827E-2</v>
      </c>
    </row>
    <row r="5" spans="1:27" x14ac:dyDescent="0.35">
      <c r="A5" s="3">
        <v>70.78</v>
      </c>
      <c r="B5" s="8">
        <v>2.3370000000000002</v>
      </c>
      <c r="C5">
        <v>0</v>
      </c>
      <c r="E5">
        <f t="shared" si="0"/>
        <v>2.7599699999999991</v>
      </c>
      <c r="F5">
        <f t="shared" si="1"/>
        <v>0.42296999999999896</v>
      </c>
      <c r="G5">
        <f t="shared" si="2"/>
        <v>0.17890362089999912</v>
      </c>
      <c r="I5">
        <f t="shared" si="3"/>
        <v>2.9166758799999855</v>
      </c>
      <c r="J5">
        <f t="shared" si="4"/>
        <v>0.57967587999998527</v>
      </c>
      <c r="K5">
        <f t="shared" si="5"/>
        <v>0.33602412585375729</v>
      </c>
      <c r="M5">
        <f t="shared" si="6"/>
        <v>2.6031512220745299</v>
      </c>
      <c r="N5">
        <f t="shared" si="7"/>
        <v>0.26615122207452968</v>
      </c>
      <c r="O5">
        <f t="shared" si="8"/>
        <v>7.0836473011765613E-2</v>
      </c>
      <c r="Q5" s="10">
        <f t="shared" si="9"/>
        <v>2.6118071151140612</v>
      </c>
      <c r="R5">
        <f t="shared" si="10"/>
        <v>0.27480711511406097</v>
      </c>
      <c r="S5">
        <f t="shared" si="11"/>
        <v>7.5518950517312763E-2</v>
      </c>
      <c r="U5">
        <f t="shared" si="12"/>
        <v>2.5716796526685357</v>
      </c>
      <c r="V5">
        <f t="shared" si="13"/>
        <v>0.23467965266853552</v>
      </c>
      <c r="W5">
        <f t="shared" si="14"/>
        <v>5.5074539376624473E-2</v>
      </c>
      <c r="Y5">
        <f t="shared" si="15"/>
        <v>2.5373089779168367</v>
      </c>
      <c r="Z5">
        <f t="shared" si="16"/>
        <v>0.20030897791683655</v>
      </c>
      <c r="AA5">
        <f t="shared" si="17"/>
        <v>4.0123686634087712E-2</v>
      </c>
    </row>
    <row r="6" spans="1:27" x14ac:dyDescent="0.35">
      <c r="A6" s="3">
        <v>72.52</v>
      </c>
      <c r="B6" s="8">
        <v>1.875</v>
      </c>
      <c r="C6">
        <v>0</v>
      </c>
      <c r="E6">
        <f t="shared" si="0"/>
        <v>2.5189800000000009</v>
      </c>
      <c r="F6">
        <f t="shared" si="1"/>
        <v>0.64398000000000089</v>
      </c>
      <c r="G6">
        <f t="shared" si="2"/>
        <v>0.41471024040000115</v>
      </c>
      <c r="I6">
        <f t="shared" si="3"/>
        <v>2.4865652800000078</v>
      </c>
      <c r="J6">
        <f t="shared" si="4"/>
        <v>0.61156528000000776</v>
      </c>
      <c r="K6">
        <f t="shared" si="5"/>
        <v>0.37401209170148791</v>
      </c>
      <c r="M6">
        <f t="shared" si="6"/>
        <v>2.1754600432434472</v>
      </c>
      <c r="N6">
        <f t="shared" si="7"/>
        <v>0.30046004324344722</v>
      </c>
      <c r="O6">
        <f t="shared" si="8"/>
        <v>9.0276237585854166E-2</v>
      </c>
      <c r="Q6" s="10">
        <f t="shared" si="9"/>
        <v>1.8618559284950607</v>
      </c>
      <c r="R6">
        <f t="shared" si="10"/>
        <v>1.3144071504939348E-2</v>
      </c>
      <c r="S6">
        <f t="shared" si="11"/>
        <v>1.7276661572695852E-4</v>
      </c>
      <c r="U6">
        <f t="shared" si="12"/>
        <v>1.716520955786109</v>
      </c>
      <c r="V6">
        <f t="shared" si="13"/>
        <v>0.15847904421389103</v>
      </c>
      <c r="W6">
        <f t="shared" si="14"/>
        <v>2.5115607454948428E-2</v>
      </c>
      <c r="Y6">
        <f t="shared" si="15"/>
        <v>1.7711639273911715</v>
      </c>
      <c r="Z6">
        <f t="shared" si="16"/>
        <v>0.10383607260882854</v>
      </c>
      <c r="AA6">
        <f t="shared" si="17"/>
        <v>1.0781929974825914E-2</v>
      </c>
    </row>
    <row r="7" spans="1:27" x14ac:dyDescent="0.35">
      <c r="A7" s="3">
        <v>73.92</v>
      </c>
      <c r="B7" s="8">
        <v>1.7909999999999999</v>
      </c>
      <c r="C7">
        <v>0</v>
      </c>
      <c r="E7">
        <f t="shared" si="0"/>
        <v>2.3250799999999998</v>
      </c>
      <c r="F7">
        <f t="shared" si="1"/>
        <v>0.53407999999999989</v>
      </c>
      <c r="G7">
        <f t="shared" si="2"/>
        <v>0.28524144639999988</v>
      </c>
      <c r="I7">
        <f t="shared" si="3"/>
        <v>2.2534764799999891</v>
      </c>
      <c r="J7">
        <f t="shared" si="4"/>
        <v>0.4624764799999892</v>
      </c>
      <c r="K7">
        <f t="shared" si="5"/>
        <v>0.2138844945531804</v>
      </c>
      <c r="M7">
        <f t="shared" si="6"/>
        <v>1.9833239495665111</v>
      </c>
      <c r="N7">
        <f t="shared" si="7"/>
        <v>0.19232394956651122</v>
      </c>
      <c r="O7">
        <f t="shared" si="8"/>
        <v>3.6988501576861954E-2</v>
      </c>
      <c r="Q7" s="10">
        <f t="shared" si="9"/>
        <v>1.6170910245564301</v>
      </c>
      <c r="R7">
        <f t="shared" si="10"/>
        <v>0.17390897544356987</v>
      </c>
      <c r="S7">
        <f t="shared" si="11"/>
        <v>3.0244331739832188E-2</v>
      </c>
      <c r="U7">
        <f t="shared" si="12"/>
        <v>1.6805656915530562</v>
      </c>
      <c r="V7">
        <f t="shared" si="13"/>
        <v>0.11043430844694369</v>
      </c>
      <c r="W7">
        <f t="shared" si="14"/>
        <v>1.2195736482154697E-2</v>
      </c>
      <c r="Y7">
        <f t="shared" si="15"/>
        <v>1.7849925626069307</v>
      </c>
      <c r="Z7">
        <f t="shared" si="16"/>
        <v>6.0074373930691927E-3</v>
      </c>
      <c r="AA7">
        <f t="shared" si="17"/>
        <v>3.6089304031645975E-5</v>
      </c>
    </row>
    <row r="8" spans="1:27" ht="15" thickBot="1" x14ac:dyDescent="0.4">
      <c r="A8" s="3">
        <v>74.47</v>
      </c>
      <c r="B8" s="8">
        <v>1.8260000000000001</v>
      </c>
      <c r="C8">
        <v>0</v>
      </c>
      <c r="E8">
        <f t="shared" si="0"/>
        <v>2.2489050000000006</v>
      </c>
      <c r="F8">
        <f t="shared" si="1"/>
        <v>0.42290500000000053</v>
      </c>
      <c r="G8">
        <f t="shared" si="2"/>
        <v>0.17884863902500045</v>
      </c>
      <c r="I8">
        <f t="shared" si="3"/>
        <v>2.189469129999992</v>
      </c>
      <c r="J8">
        <f t="shared" si="4"/>
        <v>0.36346912999999192</v>
      </c>
      <c r="K8">
        <f t="shared" si="5"/>
        <v>0.13210980846295103</v>
      </c>
      <c r="M8">
        <f t="shared" si="6"/>
        <v>1.9372674468315836</v>
      </c>
      <c r="N8">
        <f t="shared" si="7"/>
        <v>0.11126744683158352</v>
      </c>
      <c r="O8">
        <f t="shared" si="8"/>
        <v>1.2380444724419265E-2</v>
      </c>
      <c r="Q8" s="10">
        <f t="shared" si="9"/>
        <v>1.6283939788409043</v>
      </c>
      <c r="R8">
        <f t="shared" si="10"/>
        <v>0.19760602115909576</v>
      </c>
      <c r="S8">
        <f t="shared" si="11"/>
        <v>3.9048139598329E-2</v>
      </c>
      <c r="U8">
        <f t="shared" si="12"/>
        <v>1.7741153025999665</v>
      </c>
      <c r="V8">
        <f t="shared" si="13"/>
        <v>5.1884697400033541E-2</v>
      </c>
      <c r="W8">
        <f t="shared" si="14"/>
        <v>2.6920218242930472E-3</v>
      </c>
      <c r="Y8">
        <f t="shared" si="15"/>
        <v>1.8558196444064379</v>
      </c>
      <c r="Z8">
        <f t="shared" si="16"/>
        <v>2.9819644406437806E-2</v>
      </c>
      <c r="AA8">
        <f t="shared" si="17"/>
        <v>8.892111925263976E-4</v>
      </c>
    </row>
    <row r="9" spans="1:27" ht="15" thickBot="1" x14ac:dyDescent="0.4">
      <c r="A9" s="3">
        <v>74.680000000000007</v>
      </c>
      <c r="B9" s="1">
        <v>1.871</v>
      </c>
      <c r="C9">
        <v>0</v>
      </c>
      <c r="E9">
        <f t="shared" si="0"/>
        <v>2.2198199999999986</v>
      </c>
      <c r="F9">
        <f t="shared" si="1"/>
        <v>0.34881999999999858</v>
      </c>
      <c r="G9">
        <f t="shared" si="2"/>
        <v>0.121675392399999</v>
      </c>
      <c r="I9">
        <f t="shared" si="3"/>
        <v>2.1691316799999925</v>
      </c>
      <c r="J9">
        <f t="shared" si="4"/>
        <v>0.29813167999999246</v>
      </c>
      <c r="K9">
        <f t="shared" si="5"/>
        <v>8.8882498619617903E-2</v>
      </c>
      <c r="M9">
        <f t="shared" si="6"/>
        <v>1.9233943452939002</v>
      </c>
      <c r="N9">
        <f t="shared" si="7"/>
        <v>5.2394345293900191E-2</v>
      </c>
      <c r="O9">
        <f t="shared" si="8"/>
        <v>2.7451674187764412E-3</v>
      </c>
      <c r="Q9" s="10">
        <f t="shared" si="9"/>
        <v>1.6469406492542475</v>
      </c>
      <c r="R9">
        <f t="shared" si="10"/>
        <v>0.22405935074575245</v>
      </c>
      <c r="S9">
        <f t="shared" si="11"/>
        <v>5.0202592656608119E-2</v>
      </c>
      <c r="U9">
        <f t="shared" si="12"/>
        <v>1.8162634130567312</v>
      </c>
      <c r="V9">
        <f t="shared" si="13"/>
        <v>5.4736586943268772E-2</v>
      </c>
      <c r="W9">
        <f t="shared" si="14"/>
        <v>2.9960939501980214E-3</v>
      </c>
      <c r="Y9">
        <f t="shared" si="15"/>
        <v>1.8843478132039309</v>
      </c>
      <c r="Z9">
        <f t="shared" si="16"/>
        <v>1.3347813203930858E-2</v>
      </c>
      <c r="AA9">
        <f t="shared" si="17"/>
        <v>1.7816411732703095E-4</v>
      </c>
    </row>
    <row r="10" spans="1:27" ht="15" thickBot="1" x14ac:dyDescent="0.4">
      <c r="A10" s="3">
        <v>75.98</v>
      </c>
      <c r="B10" s="1">
        <v>2.016</v>
      </c>
      <c r="C10">
        <v>0</v>
      </c>
      <c r="E10">
        <f t="shared" si="0"/>
        <v>2.039769999999999</v>
      </c>
      <c r="F10">
        <f t="shared" si="1"/>
        <v>2.3769999999998959E-2</v>
      </c>
      <c r="G10">
        <f t="shared" si="2"/>
        <v>5.6501289999995048E-4</v>
      </c>
      <c r="I10">
        <f t="shared" si="3"/>
        <v>2.0936822800000243</v>
      </c>
      <c r="J10">
        <f t="shared" si="4"/>
        <v>7.7682280000024306E-2</v>
      </c>
      <c r="K10">
        <f t="shared" si="5"/>
        <v>6.0345366260021764E-3</v>
      </c>
      <c r="M10">
        <f t="shared" si="6"/>
        <v>1.8753494024365409</v>
      </c>
      <c r="N10">
        <f t="shared" si="7"/>
        <v>0.1406505975634591</v>
      </c>
      <c r="O10">
        <f t="shared" si="8"/>
        <v>1.9782590594958127E-2</v>
      </c>
      <c r="Q10" s="10">
        <f t="shared" si="9"/>
        <v>1.8797237732214853</v>
      </c>
      <c r="R10">
        <f t="shared" si="10"/>
        <v>0.1362762267785147</v>
      </c>
      <c r="S10">
        <f t="shared" si="11"/>
        <v>1.8571209984989165E-2</v>
      </c>
      <c r="U10">
        <f t="shared" si="12"/>
        <v>2.0389871429651976</v>
      </c>
      <c r="V10">
        <f t="shared" si="13"/>
        <v>2.2987142965197549E-2</v>
      </c>
      <c r="W10">
        <f t="shared" si="14"/>
        <v>5.284087417024312E-4</v>
      </c>
      <c r="Y10">
        <f t="shared" si="15"/>
        <v>2.0220946241170168</v>
      </c>
      <c r="Z10">
        <f t="shared" si="16"/>
        <v>6.0946241170167781E-3</v>
      </c>
      <c r="AA10">
        <f t="shared" si="17"/>
        <v>3.714444312772254E-5</v>
      </c>
    </row>
    <row r="11" spans="1:27" ht="15" thickBot="1" x14ac:dyDescent="0.4">
      <c r="A11" s="4">
        <v>76.61</v>
      </c>
      <c r="B11" s="1">
        <v>2.0049999999999999</v>
      </c>
      <c r="C11">
        <v>0</v>
      </c>
      <c r="E11">
        <f t="shared" si="0"/>
        <v>1.952515</v>
      </c>
      <c r="F11">
        <f t="shared" si="1"/>
        <v>5.2484999999999893E-2</v>
      </c>
      <c r="G11">
        <f t="shared" si="2"/>
        <v>2.754675224999989E-3</v>
      </c>
      <c r="I11">
        <f t="shared" si="3"/>
        <v>2.0883669699999814</v>
      </c>
      <c r="J11">
        <f t="shared" si="4"/>
        <v>8.3366969999981499E-2</v>
      </c>
      <c r="K11">
        <f t="shared" si="5"/>
        <v>6.9500516869778154E-3</v>
      </c>
      <c r="M11">
        <f t="shared" si="6"/>
        <v>1.8704696713380145</v>
      </c>
      <c r="N11">
        <f t="shared" si="7"/>
        <v>0.13453032866198544</v>
      </c>
      <c r="O11">
        <f t="shared" si="8"/>
        <v>1.809840932990182E-2</v>
      </c>
      <c r="Q11" s="10">
        <f t="shared" si="9"/>
        <v>2.0106705014477484</v>
      </c>
      <c r="R11">
        <f t="shared" si="10"/>
        <v>5.6705014477484994E-3</v>
      </c>
      <c r="S11">
        <f t="shared" si="11"/>
        <v>3.215458666891783E-5</v>
      </c>
      <c r="U11">
        <f t="shared" si="12"/>
        <v>2.0645246002823114</v>
      </c>
      <c r="V11">
        <f t="shared" si="13"/>
        <v>5.9524600282311546E-2</v>
      </c>
      <c r="W11">
        <f t="shared" si="14"/>
        <v>3.5431780387689639E-3</v>
      </c>
      <c r="Y11">
        <f t="shared" si="15"/>
        <v>2.0498493928462267</v>
      </c>
      <c r="Z11">
        <f t="shared" si="16"/>
        <v>4.4849392846226799E-2</v>
      </c>
      <c r="AA11">
        <f t="shared" si="17"/>
        <v>2.0114680386751796E-3</v>
      </c>
    </row>
    <row r="12" spans="1:27" ht="15" thickBot="1" x14ac:dyDescent="0.4">
      <c r="A12" s="4">
        <v>76.75</v>
      </c>
      <c r="B12" s="1">
        <v>2.0139999999999998</v>
      </c>
      <c r="C12">
        <v>0</v>
      </c>
      <c r="E12">
        <f t="shared" si="0"/>
        <v>1.9331250000000004</v>
      </c>
      <c r="F12">
        <f t="shared" si="1"/>
        <v>8.0874999999999364E-2</v>
      </c>
      <c r="G12">
        <f t="shared" si="2"/>
        <v>6.5407656249998969E-3</v>
      </c>
      <c r="I12">
        <f t="shared" si="3"/>
        <v>2.0899562500000286</v>
      </c>
      <c r="J12">
        <f t="shared" si="4"/>
        <v>7.5956250000028813E-2</v>
      </c>
      <c r="K12">
        <f t="shared" si="5"/>
        <v>5.7693519140668767E-3</v>
      </c>
      <c r="M12">
        <f t="shared" si="6"/>
        <v>1.8705853453127474</v>
      </c>
      <c r="N12">
        <f t="shared" si="7"/>
        <v>0.14341465468725234</v>
      </c>
      <c r="O12">
        <f t="shared" si="8"/>
        <v>2.0567763179063829E-2</v>
      </c>
      <c r="Q12" s="10">
        <f t="shared" si="9"/>
        <v>2.0353423851192929</v>
      </c>
      <c r="R12">
        <f t="shared" si="10"/>
        <v>2.1342385119293095E-2</v>
      </c>
      <c r="S12">
        <f t="shared" si="11"/>
        <v>4.554974025802233E-4</v>
      </c>
      <c r="U12">
        <f t="shared" si="12"/>
        <v>2.0600317493081093</v>
      </c>
      <c r="V12">
        <f t="shared" si="13"/>
        <v>4.6031749308109493E-2</v>
      </c>
      <c r="W12">
        <f t="shared" si="14"/>
        <v>2.1189219443646387E-3</v>
      </c>
      <c r="Y12">
        <f t="shared" si="15"/>
        <v>2.0523892510682344</v>
      </c>
      <c r="Z12">
        <f t="shared" si="16"/>
        <v>3.8389251068234653E-2</v>
      </c>
      <c r="AA12">
        <f t="shared" si="17"/>
        <v>1.4737345975799556E-3</v>
      </c>
    </row>
    <row r="13" spans="1:27" ht="15" thickBot="1" x14ac:dyDescent="0.4">
      <c r="A13" s="4">
        <v>77.040000000000006</v>
      </c>
      <c r="B13" s="1">
        <v>2.0329999999999999</v>
      </c>
      <c r="C13">
        <v>0</v>
      </c>
      <c r="E13">
        <f t="shared" si="0"/>
        <v>1.8929599999999986</v>
      </c>
      <c r="F13">
        <f t="shared" si="1"/>
        <v>0.14004000000000127</v>
      </c>
      <c r="G13">
        <f t="shared" si="2"/>
        <v>1.9611201600000357E-2</v>
      </c>
      <c r="I13">
        <f t="shared" si="3"/>
        <v>2.0964531199999783</v>
      </c>
      <c r="J13">
        <f t="shared" si="4"/>
        <v>6.345311999997838E-2</v>
      </c>
      <c r="K13">
        <f t="shared" si="5"/>
        <v>4.0262984377316567E-3</v>
      </c>
      <c r="M13">
        <f t="shared" si="6"/>
        <v>1.8719575017880743</v>
      </c>
      <c r="N13">
        <f t="shared" si="7"/>
        <v>0.16104249821192562</v>
      </c>
      <c r="O13">
        <f t="shared" si="8"/>
        <v>2.5934686230338067E-2</v>
      </c>
      <c r="Q13" s="10">
        <f t="shared" si="9"/>
        <v>2.0769399844575673</v>
      </c>
      <c r="R13">
        <f t="shared" si="10"/>
        <v>4.3939984457567416E-2</v>
      </c>
      <c r="S13">
        <f t="shared" si="11"/>
        <v>1.930722234131266E-3</v>
      </c>
      <c r="U13">
        <f t="shared" si="12"/>
        <v>2.0391355762258172</v>
      </c>
      <c r="V13">
        <f t="shared" si="13"/>
        <v>6.1355762258172852E-3</v>
      </c>
      <c r="W13">
        <f t="shared" si="14"/>
        <v>3.7645295622814283E-5</v>
      </c>
      <c r="Y13">
        <f t="shared" si="15"/>
        <v>2.0535312313586473</v>
      </c>
      <c r="Z13">
        <f t="shared" si="16"/>
        <v>2.0531231358647428E-2</v>
      </c>
      <c r="AA13">
        <f t="shared" si="17"/>
        <v>4.2153146110230754E-4</v>
      </c>
    </row>
    <row r="14" spans="1:27" ht="15" thickBot="1" x14ac:dyDescent="0.4">
      <c r="A14" s="4">
        <v>77.38</v>
      </c>
      <c r="B14" s="1">
        <v>2.0449999999999999</v>
      </c>
      <c r="C14">
        <v>0</v>
      </c>
      <c r="E14">
        <f t="shared" si="0"/>
        <v>1.8458699999999997</v>
      </c>
      <c r="F14">
        <f t="shared" si="1"/>
        <v>0.19913000000000025</v>
      </c>
      <c r="G14">
        <f t="shared" si="2"/>
        <v>3.96527569000001E-2</v>
      </c>
      <c r="I14">
        <f t="shared" si="3"/>
        <v>2.1095750799999848</v>
      </c>
      <c r="J14">
        <f t="shared" si="4"/>
        <v>6.4575079999984908E-2</v>
      </c>
      <c r="K14">
        <f t="shared" si="5"/>
        <v>4.169940957004451E-3</v>
      </c>
      <c r="M14">
        <f t="shared" si="6"/>
        <v>1.8751926446716425</v>
      </c>
      <c r="N14">
        <f t="shared" si="7"/>
        <v>0.16980735532835745</v>
      </c>
      <c r="O14">
        <f t="shared" si="8"/>
        <v>2.8834537923611042E-2</v>
      </c>
      <c r="Q14" s="10">
        <f t="shared" si="9"/>
        <v>2.103301776398439</v>
      </c>
      <c r="R14">
        <f t="shared" si="10"/>
        <v>5.8301776398439031E-2</v>
      </c>
      <c r="S14">
        <f t="shared" si="11"/>
        <v>3.3990971312135823E-3</v>
      </c>
      <c r="U14">
        <f t="shared" si="12"/>
        <v>1.9967423006892204</v>
      </c>
      <c r="V14">
        <f t="shared" si="13"/>
        <v>4.82576993107795E-2</v>
      </c>
      <c r="W14">
        <f t="shared" si="14"/>
        <v>2.3288055427696081E-3</v>
      </c>
      <c r="Y14">
        <f t="shared" si="15"/>
        <v>2.0474613178521395</v>
      </c>
      <c r="Z14">
        <f t="shared" si="16"/>
        <v>2.461317852139544E-3</v>
      </c>
      <c r="AA14">
        <f t="shared" si="17"/>
        <v>6.0580855692608185E-6</v>
      </c>
    </row>
    <row r="15" spans="1:27" ht="15" thickBot="1" x14ac:dyDescent="0.4">
      <c r="A15" s="4">
        <v>77.989999999999995</v>
      </c>
      <c r="B15" s="1">
        <v>2.052</v>
      </c>
      <c r="C15">
        <v>0</v>
      </c>
      <c r="E15">
        <f t="shared" si="0"/>
        <v>1.7613850000000006</v>
      </c>
      <c r="F15">
        <f t="shared" si="1"/>
        <v>0.2906149999999994</v>
      </c>
      <c r="G15">
        <f t="shared" si="2"/>
        <v>8.4457078224999649E-2</v>
      </c>
      <c r="I15">
        <f t="shared" si="3"/>
        <v>2.1480105699999967</v>
      </c>
      <c r="J15">
        <f t="shared" si="4"/>
        <v>9.6010569999996687E-2</v>
      </c>
      <c r="K15">
        <f t="shared" si="5"/>
        <v>9.2180295517242643E-3</v>
      </c>
      <c r="M15">
        <f t="shared" si="6"/>
        <v>1.8840072033888191</v>
      </c>
      <c r="N15">
        <f t="shared" si="7"/>
        <v>0.16799279661118094</v>
      </c>
      <c r="O15">
        <f t="shared" si="8"/>
        <v>2.8221579713245605E-2</v>
      </c>
      <c r="Q15" s="10">
        <f t="shared" si="9"/>
        <v>2.0609275015885942</v>
      </c>
      <c r="R15">
        <f t="shared" si="10"/>
        <v>8.9275015885941222E-3</v>
      </c>
      <c r="S15">
        <f t="shared" si="11"/>
        <v>7.9700284614350574E-5</v>
      </c>
      <c r="U15">
        <f t="shared" si="12"/>
        <v>1.8900953298434615</v>
      </c>
      <c r="V15">
        <f t="shared" si="13"/>
        <v>0.16190467015653853</v>
      </c>
      <c r="W15">
        <f t="shared" si="14"/>
        <v>2.6213122218497538E-2</v>
      </c>
      <c r="Y15">
        <f t="shared" si="15"/>
        <v>2.0108031798154116</v>
      </c>
      <c r="Z15">
        <f t="shared" si="16"/>
        <v>4.1196820184588478E-2</v>
      </c>
      <c r="AA15">
        <f t="shared" si="17"/>
        <v>1.6971779933213167E-3</v>
      </c>
    </row>
    <row r="16" spans="1:27" ht="15" thickBot="1" x14ac:dyDescent="0.4">
      <c r="A16" s="4">
        <v>78.19</v>
      </c>
      <c r="B16" s="1">
        <v>2.0550000000000002</v>
      </c>
      <c r="C16">
        <v>0</v>
      </c>
      <c r="E16">
        <f t="shared" si="0"/>
        <v>1.7336849999999995</v>
      </c>
      <c r="F16">
        <f t="shared" si="1"/>
        <v>0.32131500000000068</v>
      </c>
      <c r="G16">
        <f t="shared" si="2"/>
        <v>0.10324332922500044</v>
      </c>
      <c r="I16">
        <f t="shared" si="3"/>
        <v>2.1647757700000057</v>
      </c>
      <c r="J16">
        <f t="shared" si="4"/>
        <v>0.10977577000000549</v>
      </c>
      <c r="K16">
        <f t="shared" si="5"/>
        <v>1.2050719679094105E-2</v>
      </c>
      <c r="M16">
        <f t="shared" si="6"/>
        <v>1.8873784495374366</v>
      </c>
      <c r="N16">
        <f t="shared" si="7"/>
        <v>0.16762155046256355</v>
      </c>
      <c r="O16">
        <f t="shared" si="8"/>
        <v>2.809698417947374E-2</v>
      </c>
      <c r="Q16" s="10">
        <f>-0.00260264*A16^4+0.76420801*A16^3-84.04367876*A16^2+4102.64770403*A16-75002.29453868</f>
        <v>2.0137375690392219</v>
      </c>
      <c r="R16">
        <f t="shared" si="10"/>
        <v>4.1262430960778307E-2</v>
      </c>
      <c r="S16">
        <f t="shared" si="11"/>
        <v>1.7025882087929962E-3</v>
      </c>
      <c r="U16">
        <f t="shared" si="12"/>
        <v>1.8539302060380578</v>
      </c>
      <c r="V16">
        <f t="shared" si="13"/>
        <v>0.20106979396194236</v>
      </c>
      <c r="W16">
        <f t="shared" si="14"/>
        <v>4.0429062043897949E-2</v>
      </c>
      <c r="Y16">
        <f t="shared" si="15"/>
        <v>1.9883366096764803</v>
      </c>
      <c r="Z16">
        <f t="shared" si="16"/>
        <v>6.6663390323519867E-2</v>
      </c>
      <c r="AA16">
        <f t="shared" si="17"/>
        <v>4.4440076094259618E-3</v>
      </c>
    </row>
    <row r="17" spans="1:27" ht="15" thickBot="1" x14ac:dyDescent="0.4">
      <c r="A17" s="4">
        <v>78.94</v>
      </c>
      <c r="B17" s="1">
        <v>1.875</v>
      </c>
      <c r="C17">
        <v>0</v>
      </c>
      <c r="E17">
        <f t="shared" si="0"/>
        <v>1.6298099999999991</v>
      </c>
      <c r="F17">
        <f t="shared" si="1"/>
        <v>0.24519000000000091</v>
      </c>
      <c r="G17">
        <f t="shared" si="2"/>
        <v>6.0118136100000448E-2</v>
      </c>
      <c r="I17">
        <f t="shared" si="3"/>
        <v>2.2459565200000213</v>
      </c>
      <c r="J17">
        <f t="shared" si="4"/>
        <v>0.37095652000002133</v>
      </c>
      <c r="K17">
        <f t="shared" si="5"/>
        <v>0.13760873973052623</v>
      </c>
      <c r="M17">
        <f t="shared" si="6"/>
        <v>1.8999874220887705</v>
      </c>
      <c r="N17">
        <f t="shared" si="7"/>
        <v>2.4987422088770472E-2</v>
      </c>
      <c r="O17">
        <f t="shared" si="8"/>
        <v>6.2437126264237451E-4</v>
      </c>
      <c r="Q17" s="10">
        <f t="shared" si="9"/>
        <v>1.6357378465472721</v>
      </c>
      <c r="R17">
        <f t="shared" si="10"/>
        <v>0.23926215345272794</v>
      </c>
      <c r="S17">
        <f t="shared" si="11"/>
        <v>5.7246378074836735E-2</v>
      </c>
      <c r="U17">
        <f t="shared" si="12"/>
        <v>1.7814861508086324</v>
      </c>
      <c r="V17">
        <f t="shared" si="13"/>
        <v>9.3513849191367626E-2</v>
      </c>
      <c r="W17">
        <f t="shared" si="14"/>
        <v>8.7448399905858468E-3</v>
      </c>
      <c r="Y17">
        <f t="shared" si="15"/>
        <v>1.8173152823001146</v>
      </c>
      <c r="Z17">
        <f t="shared" si="16"/>
        <v>5.7684717699885368E-2</v>
      </c>
      <c r="AA17">
        <f t="shared" si="17"/>
        <v>3.3275266561154683E-3</v>
      </c>
    </row>
    <row r="18" spans="1:27" ht="15" thickBot="1" x14ac:dyDescent="0.4">
      <c r="A18" s="4">
        <v>78.86</v>
      </c>
      <c r="B18" s="1">
        <v>1.8160000000000001</v>
      </c>
      <c r="C18">
        <v>0</v>
      </c>
      <c r="E18">
        <f t="shared" si="0"/>
        <v>1.6408900000000006</v>
      </c>
      <c r="F18">
        <f t="shared" si="1"/>
        <v>0.17510999999999943</v>
      </c>
      <c r="G18">
        <f t="shared" si="2"/>
        <v>3.0663512099999801E-2</v>
      </c>
      <c r="I18">
        <f t="shared" si="3"/>
        <v>2.2359197199999983</v>
      </c>
      <c r="J18">
        <f t="shared" si="4"/>
        <v>0.41991971999999822</v>
      </c>
      <c r="K18">
        <f t="shared" si="5"/>
        <v>0.17633257124487692</v>
      </c>
      <c r="M18">
        <f t="shared" si="6"/>
        <v>1.8987351517125717</v>
      </c>
      <c r="N18">
        <f t="shared" si="7"/>
        <v>8.273515171257162E-2</v>
      </c>
      <c r="O18">
        <f t="shared" si="8"/>
        <v>6.8451053289022429E-3</v>
      </c>
      <c r="Q18" s="10">
        <f t="shared" si="9"/>
        <v>1.6936515238485299</v>
      </c>
      <c r="R18">
        <f t="shared" si="10"/>
        <v>0.12234847615147015</v>
      </c>
      <c r="S18">
        <f t="shared" si="11"/>
        <v>1.4969149616586861E-2</v>
      </c>
      <c r="U18">
        <f t="shared" si="12"/>
        <v>1.7807021541520953</v>
      </c>
      <c r="V18">
        <f t="shared" si="13"/>
        <v>3.5297845847904741E-2</v>
      </c>
      <c r="W18">
        <f t="shared" si="14"/>
        <v>1.2459379215024459E-3</v>
      </c>
      <c r="Y18">
        <f t="shared" si="15"/>
        <v>1.8447312731295824</v>
      </c>
      <c r="Z18">
        <f t="shared" si="16"/>
        <v>2.8731273129582346E-2</v>
      </c>
      <c r="AA18">
        <f t="shared" si="17"/>
        <v>8.2548605564666051E-4</v>
      </c>
    </row>
    <row r="19" spans="1:27" ht="15" thickBot="1" x14ac:dyDescent="0.4">
      <c r="A19" s="4">
        <v>78.84</v>
      </c>
      <c r="B19" s="1">
        <v>1.796</v>
      </c>
      <c r="C19">
        <v>0</v>
      </c>
      <c r="E19">
        <f t="shared" si="0"/>
        <v>1.6436599999999988</v>
      </c>
      <c r="F19">
        <f t="shared" si="1"/>
        <v>0.15234000000000125</v>
      </c>
      <c r="G19">
        <f t="shared" si="2"/>
        <v>2.3207475600000381E-2</v>
      </c>
      <c r="I19">
        <f t="shared" si="3"/>
        <v>2.2334619199999963</v>
      </c>
      <c r="J19">
        <f t="shared" si="4"/>
        <v>0.43746191999999628</v>
      </c>
      <c r="K19">
        <f t="shared" si="5"/>
        <v>0.19137293145008316</v>
      </c>
      <c r="M19">
        <f t="shared" si="6"/>
        <v>1.8984161113817208</v>
      </c>
      <c r="N19">
        <f t="shared" si="7"/>
        <v>0.1024161113817208</v>
      </c>
      <c r="O19">
        <f t="shared" si="8"/>
        <v>1.048905987055304E-2</v>
      </c>
      <c r="Q19" s="10">
        <f t="shared" si="9"/>
        <v>1.7074017261038534</v>
      </c>
      <c r="R19">
        <f t="shared" si="10"/>
        <v>8.8598273896146607E-2</v>
      </c>
      <c r="S19">
        <f t="shared" si="11"/>
        <v>7.8496541373766129E-3</v>
      </c>
      <c r="U19">
        <f t="shared" si="12"/>
        <v>1.7809438081458211</v>
      </c>
      <c r="V19">
        <f t="shared" si="13"/>
        <v>1.5056191854178946E-2</v>
      </c>
      <c r="W19">
        <f t="shared" si="14"/>
        <v>2.2668891314984446E-4</v>
      </c>
      <c r="Y19">
        <f t="shared" si="15"/>
        <v>1.8511510211974382</v>
      </c>
      <c r="Z19">
        <f t="shared" si="16"/>
        <v>5.5151021197438199E-2</v>
      </c>
      <c r="AA19">
        <f t="shared" si="17"/>
        <v>3.0416351391202774E-3</v>
      </c>
    </row>
    <row r="20" spans="1:27" ht="15" thickBot="1" x14ac:dyDescent="0.4">
      <c r="B20" s="9"/>
      <c r="C20">
        <f>56/74</f>
        <v>0.7567567567567568</v>
      </c>
      <c r="F20" t="s">
        <v>45</v>
      </c>
      <c r="G20" t="s">
        <v>46</v>
      </c>
      <c r="J20" t="s">
        <v>45</v>
      </c>
      <c r="K20" t="s">
        <v>46</v>
      </c>
      <c r="N20" t="s">
        <v>45</v>
      </c>
      <c r="O20" t="s">
        <v>46</v>
      </c>
      <c r="R20" t="s">
        <v>45</v>
      </c>
      <c r="S20" t="s">
        <v>46</v>
      </c>
      <c r="V20" t="s">
        <v>45</v>
      </c>
      <c r="W20" t="s">
        <v>46</v>
      </c>
      <c r="Z20" t="s">
        <v>45</v>
      </c>
      <c r="AA20" t="s">
        <v>46</v>
      </c>
    </row>
    <row r="21" spans="1:27" ht="15" thickBot="1" x14ac:dyDescent="0.4">
      <c r="A21" s="3">
        <v>68.14</v>
      </c>
      <c r="B21" s="9">
        <v>3.1480000000000001</v>
      </c>
      <c r="C21">
        <v>1</v>
      </c>
      <c r="F21">
        <f>MAX(F2:F19)</f>
        <v>0.64398000000000089</v>
      </c>
      <c r="G21">
        <f>SUM(G2:G19)</f>
        <v>1.8690705790500011</v>
      </c>
      <c r="J21">
        <f>MAX(J2:J19)</f>
        <v>0.61156528000000776</v>
      </c>
      <c r="K21">
        <f>SUM(K2:K19)</f>
        <v>1.9535383308346195</v>
      </c>
      <c r="N21">
        <f>MAX(N2:N15)</f>
        <v>0.30046004324344722</v>
      </c>
      <c r="O21">
        <f>SUM(O2:O15)</f>
        <v>0.4943166174565829</v>
      </c>
      <c r="R21">
        <f>MAX(R2:R19)</f>
        <v>0.27480711511406097</v>
      </c>
      <c r="S21">
        <f>SUM(S2:S19)</f>
        <v>0.43030286029734177</v>
      </c>
      <c r="V21">
        <f>MAX(V2:V19)</f>
        <v>0.32290972729027256</v>
      </c>
      <c r="W21">
        <f>SUM(W2:W19)</f>
        <v>0.30162686607188183</v>
      </c>
      <c r="Z21">
        <f>MAX(Z2:Z19)</f>
        <v>0.3097563083916901</v>
      </c>
      <c r="AA21">
        <f>SUM(AA2:AA19)</f>
        <v>0.20659195574166683</v>
      </c>
    </row>
    <row r="22" spans="1:27" ht="15" thickBot="1" x14ac:dyDescent="0.4">
      <c r="A22" s="3">
        <v>68.33</v>
      </c>
      <c r="B22" s="9">
        <v>3.2029999999999998</v>
      </c>
      <c r="C22">
        <v>1</v>
      </c>
    </row>
    <row r="23" spans="1:27" ht="15" thickBot="1" x14ac:dyDescent="0.4">
      <c r="A23" s="3">
        <v>68.52</v>
      </c>
      <c r="B23" s="9">
        <v>3.2570000000000001</v>
      </c>
      <c r="C23">
        <v>1</v>
      </c>
    </row>
    <row r="24" spans="1:27" ht="15" thickBot="1" x14ac:dyDescent="0.4">
      <c r="A24" s="3">
        <v>68.709999999999994</v>
      </c>
      <c r="B24" s="9">
        <v>3.3109999999999999</v>
      </c>
      <c r="C24">
        <v>1</v>
      </c>
      <c r="T24" s="3"/>
    </row>
    <row r="25" spans="1:27" ht="15" thickBot="1" x14ac:dyDescent="0.4">
      <c r="A25" s="3">
        <v>68.900000000000006</v>
      </c>
      <c r="B25" s="9">
        <v>3.3650000000000002</v>
      </c>
      <c r="C25">
        <v>1</v>
      </c>
      <c r="T25" s="3"/>
    </row>
    <row r="26" spans="1:27" ht="15" thickBot="1" x14ac:dyDescent="0.4">
      <c r="A26" s="3">
        <v>69.28</v>
      </c>
      <c r="B26" s="9">
        <v>3.4740000000000002</v>
      </c>
      <c r="C26">
        <v>1</v>
      </c>
      <c r="T26" s="3"/>
    </row>
    <row r="27" spans="1:27" ht="15" thickBot="1" x14ac:dyDescent="0.4">
      <c r="A27" s="3">
        <v>69.47</v>
      </c>
      <c r="B27" s="1">
        <v>3.528</v>
      </c>
      <c r="C27">
        <v>1</v>
      </c>
      <c r="T27" s="3"/>
    </row>
    <row r="28" spans="1:27" ht="15" thickBot="1" x14ac:dyDescent="0.4">
      <c r="A28" s="3">
        <v>69.66</v>
      </c>
      <c r="B28" s="1">
        <v>3.5819999999999999</v>
      </c>
      <c r="C28">
        <v>1</v>
      </c>
      <c r="T28" s="3"/>
    </row>
    <row r="29" spans="1:27" ht="15" thickBot="1" x14ac:dyDescent="0.4">
      <c r="A29" s="3">
        <v>69.75</v>
      </c>
      <c r="B29" s="1">
        <v>3.512</v>
      </c>
      <c r="C29">
        <v>1</v>
      </c>
      <c r="T29" s="3"/>
    </row>
    <row r="30" spans="1:27" ht="15" thickBot="1" x14ac:dyDescent="0.4">
      <c r="A30" s="3">
        <v>69.84</v>
      </c>
      <c r="B30" s="1">
        <v>3.4430000000000001</v>
      </c>
      <c r="C30">
        <v>1</v>
      </c>
      <c r="T30" s="3"/>
    </row>
    <row r="31" spans="1:27" ht="15" thickBot="1" x14ac:dyDescent="0.4">
      <c r="A31" s="3">
        <v>69.930000000000007</v>
      </c>
      <c r="B31" s="1">
        <v>3.3730000000000002</v>
      </c>
      <c r="C31">
        <v>1</v>
      </c>
      <c r="T31" s="3"/>
    </row>
    <row r="32" spans="1:27" ht="15" thickBot="1" x14ac:dyDescent="0.4">
      <c r="A32" s="3">
        <v>70.02</v>
      </c>
      <c r="B32" s="1">
        <v>3.3039999999999998</v>
      </c>
      <c r="C32">
        <v>1</v>
      </c>
      <c r="T32" s="3"/>
    </row>
    <row r="33" spans="1:20" ht="15" thickBot="1" x14ac:dyDescent="0.4">
      <c r="A33" s="3">
        <v>70.11</v>
      </c>
      <c r="B33" s="1">
        <v>3.234</v>
      </c>
      <c r="C33">
        <v>1</v>
      </c>
      <c r="T33" s="4"/>
    </row>
    <row r="34" spans="1:20" ht="15" thickBot="1" x14ac:dyDescent="0.4">
      <c r="A34" s="3">
        <v>70.209999999999994</v>
      </c>
      <c r="B34" s="1">
        <v>2.9580000000000002</v>
      </c>
      <c r="C34">
        <v>1</v>
      </c>
      <c r="T34" s="4"/>
    </row>
    <row r="35" spans="1:20" ht="15" thickBot="1" x14ac:dyDescent="0.4">
      <c r="A35" s="3">
        <v>70.260000000000005</v>
      </c>
      <c r="B35" s="1">
        <v>2.819</v>
      </c>
      <c r="C35">
        <v>1</v>
      </c>
      <c r="T35" s="4"/>
    </row>
    <row r="36" spans="1:20" ht="15" thickBot="1" x14ac:dyDescent="0.4">
      <c r="A36" s="3">
        <v>70.31</v>
      </c>
      <c r="B36" s="1">
        <v>2.681</v>
      </c>
      <c r="C36">
        <v>1</v>
      </c>
      <c r="T36" s="4"/>
    </row>
    <row r="37" spans="1:20" ht="15" thickBot="1" x14ac:dyDescent="0.4">
      <c r="A37" s="3">
        <v>70.569999999999993</v>
      </c>
      <c r="B37" s="1">
        <v>2.44</v>
      </c>
      <c r="C37">
        <v>1</v>
      </c>
    </row>
    <row r="38" spans="1:20" ht="15" thickBot="1" x14ac:dyDescent="0.4">
      <c r="A38" s="3">
        <v>71</v>
      </c>
      <c r="B38" s="1">
        <v>2.2349999999999999</v>
      </c>
      <c r="C38">
        <v>1</v>
      </c>
    </row>
    <row r="39" spans="1:20" ht="15" thickBot="1" x14ac:dyDescent="0.4">
      <c r="A39" s="3">
        <v>71.209999999999994</v>
      </c>
      <c r="B39" s="1">
        <v>2.1320000000000001</v>
      </c>
      <c r="C39">
        <v>1</v>
      </c>
    </row>
    <row r="40" spans="1:20" ht="15" thickBot="1" x14ac:dyDescent="0.4">
      <c r="A40" s="3">
        <v>71.42</v>
      </c>
      <c r="B40" s="1">
        <v>2.0289999999999999</v>
      </c>
      <c r="C40">
        <v>1</v>
      </c>
    </row>
    <row r="41" spans="1:20" ht="15" thickBot="1" x14ac:dyDescent="0.4">
      <c r="A41" s="3">
        <v>71.790000000000006</v>
      </c>
      <c r="B41" s="1">
        <v>1.978</v>
      </c>
      <c r="C41">
        <v>1</v>
      </c>
    </row>
    <row r="42" spans="1:20" ht="15" thickBot="1" x14ac:dyDescent="0.4">
      <c r="A42" s="3">
        <v>72.150000000000006</v>
      </c>
      <c r="B42" s="1">
        <v>1.9259999999999999</v>
      </c>
      <c r="C42">
        <v>1</v>
      </c>
    </row>
    <row r="43" spans="1:20" ht="15" thickBot="1" x14ac:dyDescent="0.4">
      <c r="A43" s="3">
        <v>72.88</v>
      </c>
      <c r="B43" s="1">
        <v>1.823</v>
      </c>
      <c r="C43">
        <v>1</v>
      </c>
    </row>
    <row r="44" spans="1:20" ht="15" thickBot="1" x14ac:dyDescent="0.4">
      <c r="A44" s="3">
        <v>73.25</v>
      </c>
      <c r="B44" s="1">
        <v>1.772</v>
      </c>
      <c r="C44">
        <v>1</v>
      </c>
    </row>
    <row r="45" spans="1:20" ht="15" thickBot="1" x14ac:dyDescent="0.4">
      <c r="A45" s="3">
        <v>73.47</v>
      </c>
      <c r="B45" s="1">
        <v>1.778</v>
      </c>
      <c r="C45">
        <v>1</v>
      </c>
    </row>
    <row r="46" spans="1:20" ht="15" thickBot="1" x14ac:dyDescent="0.4">
      <c r="A46" s="3">
        <v>73.7</v>
      </c>
      <c r="B46" s="1">
        <v>1.7849999999999999</v>
      </c>
      <c r="C46">
        <v>1</v>
      </c>
    </row>
    <row r="47" spans="1:20" ht="15" thickBot="1" x14ac:dyDescent="0.4">
      <c r="A47" s="3">
        <v>74.150000000000006</v>
      </c>
      <c r="B47" s="1">
        <v>1.798</v>
      </c>
      <c r="C47">
        <v>1</v>
      </c>
    </row>
    <row r="48" spans="1:20" ht="15" thickBot="1" x14ac:dyDescent="0.4">
      <c r="A48" s="3">
        <v>74.37</v>
      </c>
      <c r="B48" s="1">
        <v>1.804</v>
      </c>
      <c r="C48">
        <v>1</v>
      </c>
    </row>
    <row r="49" spans="1:3" ht="15" thickBot="1" x14ac:dyDescent="0.4">
      <c r="A49" s="3">
        <v>74.58</v>
      </c>
      <c r="B49" s="1">
        <v>1.8480000000000001</v>
      </c>
      <c r="C49">
        <v>1</v>
      </c>
    </row>
    <row r="50" spans="1:3" ht="15" thickBot="1" x14ac:dyDescent="0.4">
      <c r="A50" s="3">
        <v>74.790000000000006</v>
      </c>
      <c r="B50" s="1">
        <v>1.893</v>
      </c>
      <c r="C50">
        <v>1</v>
      </c>
    </row>
    <row r="51" spans="1:3" ht="15" thickBot="1" x14ac:dyDescent="0.4">
      <c r="A51" s="3">
        <v>74.89</v>
      </c>
      <c r="B51" s="1">
        <v>1.915</v>
      </c>
      <c r="C51">
        <v>1</v>
      </c>
    </row>
    <row r="52" spans="1:3" ht="15" thickBot="1" x14ac:dyDescent="0.4">
      <c r="A52" s="3">
        <v>75.040000000000006</v>
      </c>
      <c r="B52" s="1">
        <v>1.9379999999999999</v>
      </c>
      <c r="C52">
        <v>1</v>
      </c>
    </row>
    <row r="53" spans="1:3" ht="15" thickBot="1" x14ac:dyDescent="0.4">
      <c r="A53" s="3">
        <v>75.19</v>
      </c>
      <c r="B53" s="1">
        <v>1.9610000000000001</v>
      </c>
      <c r="C53">
        <v>1</v>
      </c>
    </row>
    <row r="54" spans="1:3" ht="15" thickBot="1" x14ac:dyDescent="0.4">
      <c r="A54" s="3">
        <v>75.349999999999994</v>
      </c>
      <c r="B54" s="1">
        <v>1.984</v>
      </c>
      <c r="C54">
        <v>1</v>
      </c>
    </row>
    <row r="55" spans="1:3" ht="15" thickBot="1" x14ac:dyDescent="0.4">
      <c r="A55" s="3">
        <v>75.5</v>
      </c>
      <c r="B55" s="1">
        <v>2.0070000000000001</v>
      </c>
      <c r="C55">
        <v>1</v>
      </c>
    </row>
    <row r="56" spans="1:3" ht="15" thickBot="1" x14ac:dyDescent="0.4">
      <c r="A56" s="3">
        <v>75.650000000000006</v>
      </c>
      <c r="B56" s="1">
        <v>2.0299999999999998</v>
      </c>
      <c r="C56">
        <v>1</v>
      </c>
    </row>
    <row r="57" spans="1:3" ht="15" thickBot="1" x14ac:dyDescent="0.4">
      <c r="A57" s="3">
        <v>75.81</v>
      </c>
      <c r="B57" s="1">
        <v>2.0230000000000001</v>
      </c>
      <c r="C57">
        <v>1</v>
      </c>
    </row>
    <row r="58" spans="1:3" ht="15" thickBot="1" x14ac:dyDescent="0.4">
      <c r="A58" s="3">
        <v>76.14</v>
      </c>
      <c r="B58" s="1">
        <v>2.0099999999999998</v>
      </c>
      <c r="C58">
        <v>1</v>
      </c>
    </row>
    <row r="59" spans="1:3" ht="15" thickBot="1" x14ac:dyDescent="0.4">
      <c r="A59" s="3">
        <v>76.31</v>
      </c>
      <c r="B59" s="1">
        <v>2.0030000000000001</v>
      </c>
      <c r="C59">
        <v>1</v>
      </c>
    </row>
    <row r="60" spans="1:3" ht="15" thickBot="1" x14ac:dyDescent="0.4">
      <c r="A60" s="3">
        <v>76.47</v>
      </c>
      <c r="B60" s="1">
        <v>1.996</v>
      </c>
      <c r="C60">
        <v>1</v>
      </c>
    </row>
    <row r="61" spans="1:3" ht="15" thickBot="1" x14ac:dyDescent="0.4">
      <c r="A61" s="4">
        <v>76.900000000000006</v>
      </c>
      <c r="B61" s="1">
        <v>2.024</v>
      </c>
      <c r="C61">
        <v>1</v>
      </c>
    </row>
    <row r="62" spans="1:3" ht="15" thickBot="1" x14ac:dyDescent="0.4">
      <c r="A62" s="4">
        <v>77.180000000000007</v>
      </c>
      <c r="B62" s="1">
        <v>2.0419999999999998</v>
      </c>
      <c r="C62">
        <v>1</v>
      </c>
    </row>
    <row r="63" spans="1:3" ht="15" thickBot="1" x14ac:dyDescent="0.4">
      <c r="A63" s="4">
        <v>77.58</v>
      </c>
      <c r="B63" s="1">
        <v>2.0470000000000002</v>
      </c>
      <c r="C63">
        <v>1</v>
      </c>
    </row>
    <row r="64" spans="1:3" ht="15" thickBot="1" x14ac:dyDescent="0.4">
      <c r="A64" s="4">
        <v>77.790000000000006</v>
      </c>
      <c r="B64" s="1">
        <v>2.0499999999999998</v>
      </c>
      <c r="C64">
        <v>1</v>
      </c>
    </row>
    <row r="65" spans="1:3" ht="15" thickBot="1" x14ac:dyDescent="0.4">
      <c r="A65" s="4">
        <v>78.34</v>
      </c>
      <c r="B65" s="1">
        <v>2.0190000000000001</v>
      </c>
      <c r="C65">
        <v>1</v>
      </c>
    </row>
    <row r="66" spans="1:3" ht="15" thickBot="1" x14ac:dyDescent="0.4">
      <c r="A66" s="4">
        <v>78.489999999999995</v>
      </c>
      <c r="B66" s="1">
        <v>1.9830000000000001</v>
      </c>
      <c r="C66">
        <v>1</v>
      </c>
    </row>
    <row r="67" spans="1:3" ht="15" thickBot="1" x14ac:dyDescent="0.4">
      <c r="A67" s="4">
        <v>78.64</v>
      </c>
      <c r="B67" s="1">
        <v>1.9470000000000001</v>
      </c>
      <c r="C67">
        <v>1</v>
      </c>
    </row>
    <row r="68" spans="1:3" ht="15" thickBot="1" x14ac:dyDescent="0.4">
      <c r="A68" s="4">
        <v>78.790000000000006</v>
      </c>
      <c r="B68" s="1">
        <v>1.911</v>
      </c>
      <c r="C68">
        <v>1</v>
      </c>
    </row>
    <row r="69" spans="1:3" ht="15" thickBot="1" x14ac:dyDescent="0.4">
      <c r="A69" s="4">
        <v>78.91</v>
      </c>
      <c r="B69" s="1">
        <v>1.855</v>
      </c>
      <c r="C69">
        <v>1</v>
      </c>
    </row>
    <row r="70" spans="1:3" ht="15" thickBot="1" x14ac:dyDescent="0.4">
      <c r="A70" s="4">
        <v>78.89</v>
      </c>
      <c r="B70" s="1">
        <v>1.835</v>
      </c>
      <c r="C70">
        <v>1</v>
      </c>
    </row>
    <row r="71" spans="1:3" ht="15" thickBot="1" x14ac:dyDescent="0.4">
      <c r="A71" s="4">
        <v>78.81</v>
      </c>
      <c r="B71" s="1">
        <v>1.776</v>
      </c>
      <c r="C71">
        <v>1</v>
      </c>
    </row>
    <row r="72" spans="1:3" x14ac:dyDescent="0.35">
      <c r="A72" s="4">
        <v>78.87</v>
      </c>
      <c r="B72" s="8">
        <v>1.778</v>
      </c>
      <c r="C72">
        <v>1</v>
      </c>
    </row>
    <row r="73" spans="1:3" x14ac:dyDescent="0.35">
      <c r="A73" s="4">
        <v>78.930000000000007</v>
      </c>
      <c r="B73" s="2">
        <v>1.7789999999999999</v>
      </c>
      <c r="C73">
        <v>1</v>
      </c>
    </row>
    <row r="74" spans="1:3" x14ac:dyDescent="0.35">
      <c r="A74" s="4">
        <v>78.989999999999995</v>
      </c>
      <c r="B74" s="2">
        <v>1.7809999999999999</v>
      </c>
      <c r="C74">
        <v>1</v>
      </c>
    </row>
    <row r="75" spans="1:3" x14ac:dyDescent="0.35">
      <c r="A75" s="4">
        <v>79.05</v>
      </c>
      <c r="B75" s="2">
        <v>1.782</v>
      </c>
      <c r="C75">
        <v>1</v>
      </c>
    </row>
    <row r="76" spans="1:3" x14ac:dyDescent="0.35">
      <c r="A76" s="4">
        <v>79.11</v>
      </c>
      <c r="B76" s="2">
        <v>1.784</v>
      </c>
      <c r="C76">
        <v>1</v>
      </c>
    </row>
    <row r="77" spans="1:3" x14ac:dyDescent="0.35">
      <c r="C77">
        <f>SUM(C3:C76)</f>
        <v>56.756756756756758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D760-2DD1-4C16-9E46-5982747A0DCB}">
  <dimension ref="A1:E10"/>
  <sheetViews>
    <sheetView workbookViewId="0">
      <selection activeCell="B8" sqref="B8"/>
    </sheetView>
  </sheetViews>
  <sheetFormatPr defaultRowHeight="14.5" x14ac:dyDescent="0.35"/>
  <cols>
    <col min="1" max="1" width="19.1796875" bestFit="1" customWidth="1"/>
    <col min="8" max="8" width="10.90625" bestFit="1" customWidth="1"/>
  </cols>
  <sheetData>
    <row r="1" spans="1:5" x14ac:dyDescent="0.35">
      <c r="B1" t="s">
        <v>62</v>
      </c>
      <c r="C1" t="s">
        <v>63</v>
      </c>
      <c r="D1" t="s">
        <v>64</v>
      </c>
      <c r="E1" t="s">
        <v>65</v>
      </c>
    </row>
    <row r="2" spans="1:5" x14ac:dyDescent="0.35">
      <c r="A2" t="s">
        <v>54</v>
      </c>
      <c r="B2">
        <v>0.64744999999999997</v>
      </c>
      <c r="C2">
        <v>1.92337</v>
      </c>
      <c r="D2">
        <v>0.64398</v>
      </c>
      <c r="E2">
        <v>1.86907</v>
      </c>
    </row>
    <row r="3" spans="1:5" x14ac:dyDescent="0.35">
      <c r="A3" t="s">
        <v>55</v>
      </c>
      <c r="B3">
        <v>0.72001999999999999</v>
      </c>
      <c r="C3">
        <v>2.3967900000000002</v>
      </c>
      <c r="D3">
        <v>0.61156999999999995</v>
      </c>
      <c r="E3">
        <v>1.9535400000000001</v>
      </c>
    </row>
    <row r="4" spans="1:5" x14ac:dyDescent="0.35">
      <c r="A4" t="s">
        <v>56</v>
      </c>
      <c r="B4">
        <v>0.57479000000000002</v>
      </c>
      <c r="C4">
        <v>0.93254999999999999</v>
      </c>
      <c r="D4">
        <v>0.30046</v>
      </c>
      <c r="E4">
        <v>0.49431999999999998</v>
      </c>
    </row>
    <row r="5" spans="1:5" x14ac:dyDescent="0.35">
      <c r="A5" t="s">
        <v>57</v>
      </c>
      <c r="B5">
        <v>0.42442999999999997</v>
      </c>
      <c r="C5">
        <v>0.73965999999999998</v>
      </c>
      <c r="D5">
        <v>0.27481</v>
      </c>
      <c r="E5">
        <v>0.43030000000000002</v>
      </c>
    </row>
    <row r="6" spans="1:5" x14ac:dyDescent="0.35">
      <c r="A6" t="s">
        <v>58</v>
      </c>
      <c r="B6">
        <v>0.30737999999999999</v>
      </c>
      <c r="C6">
        <v>0.40194999999999997</v>
      </c>
      <c r="D6">
        <v>0.32290999999999997</v>
      </c>
      <c r="E6">
        <v>0.30163000000000001</v>
      </c>
    </row>
    <row r="7" spans="1:5" x14ac:dyDescent="0.35">
      <c r="A7" t="s">
        <v>59</v>
      </c>
      <c r="B7">
        <v>0.2675324</v>
      </c>
      <c r="C7">
        <v>0.17724999999999999</v>
      </c>
      <c r="D7">
        <v>0.30975629999999998</v>
      </c>
      <c r="E7">
        <v>0.20659</v>
      </c>
    </row>
    <row r="8" spans="1:5" x14ac:dyDescent="0.35">
      <c r="A8" t="s">
        <v>60</v>
      </c>
      <c r="B8">
        <v>0.635903</v>
      </c>
      <c r="C8">
        <v>1.871467</v>
      </c>
      <c r="D8">
        <v>0.62853999999999999</v>
      </c>
      <c r="E8">
        <v>1.8113710000000001</v>
      </c>
    </row>
    <row r="9" spans="1:5" x14ac:dyDescent="0.35">
      <c r="A9" t="s">
        <v>61</v>
      </c>
      <c r="B9">
        <v>0.71244300000000005</v>
      </c>
      <c r="C9">
        <v>1.77844</v>
      </c>
      <c r="D9">
        <v>0.55433399999999999</v>
      </c>
      <c r="E9">
        <v>1.473873</v>
      </c>
    </row>
    <row r="10" spans="1:5" x14ac:dyDescent="0.35">
      <c r="A10" t="s">
        <v>53</v>
      </c>
      <c r="B10">
        <v>0.70269300000000001</v>
      </c>
      <c r="C10">
        <v>1.7289190000000001</v>
      </c>
      <c r="D10">
        <v>0.545539</v>
      </c>
      <c r="E10">
        <v>1.4244950000000001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EC32-8C7B-4060-909B-63752BB9470C}">
  <dimension ref="A1:K75"/>
  <sheetViews>
    <sheetView workbookViewId="0">
      <selection activeCell="K2" sqref="K2"/>
    </sheetView>
  </sheetViews>
  <sheetFormatPr defaultRowHeight="14.5" x14ac:dyDescent="0.35"/>
  <cols>
    <col min="1" max="1" width="21.1796875" style="3" bestFit="1" customWidth="1"/>
    <col min="2" max="2" width="18.7265625" style="2" bestFit="1" customWidth="1"/>
  </cols>
  <sheetData>
    <row r="1" spans="1:11" x14ac:dyDescent="0.35">
      <c r="A1" s="3" t="s">
        <v>0</v>
      </c>
      <c r="B1" s="2" t="s">
        <v>1</v>
      </c>
      <c r="D1" t="s">
        <v>2</v>
      </c>
      <c r="E1">
        <f>AVERAGE(A2:A75)</f>
        <v>74.256081081081049</v>
      </c>
      <c r="J1" t="s">
        <v>3</v>
      </c>
      <c r="K1" t="s">
        <v>4</v>
      </c>
    </row>
    <row r="2" spans="1:11" x14ac:dyDescent="0.35">
      <c r="A2" s="3">
        <v>68.14</v>
      </c>
      <c r="B2" s="2">
        <v>3.1480000000000001</v>
      </c>
      <c r="D2" t="s">
        <v>5</v>
      </c>
      <c r="E2">
        <f>_xlfn.STDEV.S(A2:A75)</f>
        <v>3.5931223562952064</v>
      </c>
      <c r="J2">
        <f>$H$3*A2+$H$4</f>
        <v>3.0760480321619763</v>
      </c>
      <c r="K2">
        <f>J2-B2</f>
        <v>-7.1951967838023823E-2</v>
      </c>
    </row>
    <row r="3" spans="1:11" x14ac:dyDescent="0.35">
      <c r="A3" s="3">
        <v>68.33</v>
      </c>
      <c r="B3" s="2">
        <v>3.2029999999999998</v>
      </c>
      <c r="D3" t="s">
        <v>6</v>
      </c>
      <c r="E3">
        <f>AVERAGE(B2:B75)</f>
        <v>2.2724054054054053</v>
      </c>
      <c r="G3" t="s">
        <v>7</v>
      </c>
      <c r="H3">
        <f>(E5*E4)/E2</f>
        <v>-0.13139829510149711</v>
      </c>
      <c r="J3">
        <f t="shared" ref="J3:J66" si="0">$H$3*A3+$H$4</f>
        <v>3.0510823560926923</v>
      </c>
      <c r="K3">
        <f t="shared" ref="K3:K66" si="1">J3-B3</f>
        <v>-0.15191764390730755</v>
      </c>
    </row>
    <row r="4" spans="1:11" x14ac:dyDescent="0.35">
      <c r="A4" s="3">
        <v>68.52</v>
      </c>
      <c r="B4" s="2">
        <v>3.2570000000000001</v>
      </c>
      <c r="D4" t="s">
        <v>8</v>
      </c>
      <c r="E4">
        <f>_xlfn.STDEV.S(B2:B75)</f>
        <v>0.59382869442840813</v>
      </c>
      <c r="G4" t="s">
        <v>9</v>
      </c>
      <c r="H4">
        <f>E3-H3*E1</f>
        <v>12.029527860377989</v>
      </c>
      <c r="J4">
        <f t="shared" si="0"/>
        <v>3.0261166800234065</v>
      </c>
      <c r="K4">
        <f t="shared" si="1"/>
        <v>-0.23088331997659362</v>
      </c>
    </row>
    <row r="5" spans="1:11" x14ac:dyDescent="0.35">
      <c r="A5" s="3">
        <v>68.709999999999994</v>
      </c>
      <c r="B5" s="2">
        <v>3.3109999999999999</v>
      </c>
      <c r="D5" t="s">
        <v>10</v>
      </c>
      <c r="E5">
        <f>CORREL(A2:A75,B2:B75)</f>
        <v>-0.79506119548957577</v>
      </c>
      <c r="J5">
        <f t="shared" si="0"/>
        <v>3.0011510039541225</v>
      </c>
      <c r="K5">
        <f t="shared" si="1"/>
        <v>-0.30984899604587746</v>
      </c>
    </row>
    <row r="6" spans="1:11" x14ac:dyDescent="0.35">
      <c r="A6" s="3">
        <v>68.900000000000006</v>
      </c>
      <c r="B6" s="2">
        <v>3.3650000000000002</v>
      </c>
      <c r="J6">
        <f t="shared" si="0"/>
        <v>2.9761853278848367</v>
      </c>
      <c r="K6">
        <f t="shared" si="1"/>
        <v>-0.38881467211516352</v>
      </c>
    </row>
    <row r="7" spans="1:11" x14ac:dyDescent="0.35">
      <c r="A7" s="3">
        <v>69.09</v>
      </c>
      <c r="B7" s="2">
        <v>3.419</v>
      </c>
      <c r="J7">
        <f t="shared" si="0"/>
        <v>2.9512196518155527</v>
      </c>
      <c r="K7">
        <f t="shared" si="1"/>
        <v>-0.46778034818444736</v>
      </c>
    </row>
    <row r="8" spans="1:11" ht="15" thickBot="1" x14ac:dyDescent="0.4">
      <c r="A8" s="3">
        <v>69.28</v>
      </c>
      <c r="B8" s="2">
        <v>3.4740000000000002</v>
      </c>
      <c r="J8">
        <f t="shared" si="0"/>
        <v>2.9262539757462687</v>
      </c>
      <c r="K8">
        <f t="shared" si="1"/>
        <v>-0.54774602425373153</v>
      </c>
    </row>
    <row r="9" spans="1:11" ht="15" thickBot="1" x14ac:dyDescent="0.4">
      <c r="A9" s="3">
        <v>69.47</v>
      </c>
      <c r="B9" s="1">
        <v>3.528</v>
      </c>
      <c r="J9">
        <f t="shared" si="0"/>
        <v>2.9012882996769846</v>
      </c>
      <c r="K9">
        <f t="shared" si="1"/>
        <v>-0.62671170032301537</v>
      </c>
    </row>
    <row r="10" spans="1:11" ht="15" thickBot="1" x14ac:dyDescent="0.4">
      <c r="A10" s="3">
        <v>69.66</v>
      </c>
      <c r="B10" s="1">
        <v>3.5819999999999999</v>
      </c>
      <c r="J10">
        <f t="shared" si="0"/>
        <v>2.8763226236077006</v>
      </c>
      <c r="K10">
        <f t="shared" si="1"/>
        <v>-0.70567737639229922</v>
      </c>
    </row>
    <row r="11" spans="1:11" ht="15" thickBot="1" x14ac:dyDescent="0.4">
      <c r="A11" s="3">
        <v>69.75</v>
      </c>
      <c r="B11" s="1">
        <v>3.512</v>
      </c>
      <c r="J11">
        <f t="shared" si="0"/>
        <v>2.864496777048565</v>
      </c>
      <c r="K11">
        <f t="shared" si="1"/>
        <v>-0.64750322295143503</v>
      </c>
    </row>
    <row r="12" spans="1:11" ht="15" thickBot="1" x14ac:dyDescent="0.4">
      <c r="A12" s="3">
        <v>69.84</v>
      </c>
      <c r="B12" s="1">
        <v>3.4430000000000001</v>
      </c>
      <c r="J12">
        <f t="shared" si="0"/>
        <v>2.8526709304894311</v>
      </c>
      <c r="K12">
        <f t="shared" si="1"/>
        <v>-0.59032906951056896</v>
      </c>
    </row>
    <row r="13" spans="1:11" ht="15" thickBot="1" x14ac:dyDescent="0.4">
      <c r="A13" s="3">
        <v>69.930000000000007</v>
      </c>
      <c r="B13" s="1">
        <v>3.3730000000000002</v>
      </c>
      <c r="J13">
        <f t="shared" si="0"/>
        <v>2.8408450839302954</v>
      </c>
      <c r="K13">
        <f t="shared" si="1"/>
        <v>-0.53215491606970478</v>
      </c>
    </row>
    <row r="14" spans="1:11" ht="15" thickBot="1" x14ac:dyDescent="0.4">
      <c r="A14" s="3">
        <v>70.02</v>
      </c>
      <c r="B14" s="1">
        <v>3.3039999999999998</v>
      </c>
      <c r="J14">
        <f t="shared" si="0"/>
        <v>2.8290192373711616</v>
      </c>
      <c r="K14">
        <f t="shared" si="1"/>
        <v>-0.47498076262883826</v>
      </c>
    </row>
    <row r="15" spans="1:11" ht="15" thickBot="1" x14ac:dyDescent="0.4">
      <c r="A15" s="3">
        <v>70.11</v>
      </c>
      <c r="B15" s="1">
        <v>3.234</v>
      </c>
      <c r="J15">
        <f t="shared" si="0"/>
        <v>2.8171933908120259</v>
      </c>
      <c r="K15">
        <f t="shared" si="1"/>
        <v>-0.41680660918797408</v>
      </c>
    </row>
    <row r="16" spans="1:11" ht="15" thickBot="1" x14ac:dyDescent="0.4">
      <c r="A16" s="3">
        <v>70.16</v>
      </c>
      <c r="B16" s="1">
        <v>3.0960000000000001</v>
      </c>
      <c r="J16">
        <f t="shared" si="0"/>
        <v>2.8106234760569517</v>
      </c>
      <c r="K16">
        <f t="shared" si="1"/>
        <v>-0.28537652394304835</v>
      </c>
    </row>
    <row r="17" spans="1:11" ht="15" thickBot="1" x14ac:dyDescent="0.4">
      <c r="A17" s="3">
        <v>70.209999999999994</v>
      </c>
      <c r="B17" s="1">
        <v>2.9580000000000002</v>
      </c>
      <c r="J17">
        <f t="shared" si="0"/>
        <v>2.8040535613018776</v>
      </c>
      <c r="K17">
        <f t="shared" si="1"/>
        <v>-0.15394643869812263</v>
      </c>
    </row>
    <row r="18" spans="1:11" ht="15" thickBot="1" x14ac:dyDescent="0.4">
      <c r="A18" s="3">
        <v>70.260000000000005</v>
      </c>
      <c r="B18" s="1">
        <v>2.819</v>
      </c>
      <c r="J18">
        <f t="shared" si="0"/>
        <v>2.7974836465468016</v>
      </c>
      <c r="K18">
        <f t="shared" si="1"/>
        <v>-2.1516353453198356E-2</v>
      </c>
    </row>
    <row r="19" spans="1:11" ht="15" thickBot="1" x14ac:dyDescent="0.4">
      <c r="A19" s="3">
        <v>70.31</v>
      </c>
      <c r="B19" s="1">
        <v>2.681</v>
      </c>
      <c r="J19">
        <f t="shared" si="0"/>
        <v>2.7909137317917274</v>
      </c>
      <c r="K19">
        <f t="shared" si="1"/>
        <v>0.10991373179172736</v>
      </c>
    </row>
    <row r="20" spans="1:11" ht="15" thickBot="1" x14ac:dyDescent="0.4">
      <c r="A20" s="3">
        <v>70.36</v>
      </c>
      <c r="B20" s="1">
        <v>2.5430000000000001</v>
      </c>
      <c r="J20">
        <f t="shared" si="0"/>
        <v>2.7843438170366515</v>
      </c>
      <c r="K20">
        <f t="shared" si="1"/>
        <v>0.24134381703665131</v>
      </c>
    </row>
    <row r="21" spans="1:11" ht="15" thickBot="1" x14ac:dyDescent="0.4">
      <c r="A21" s="3">
        <v>70.569999999999993</v>
      </c>
      <c r="B21" s="1">
        <v>2.44</v>
      </c>
      <c r="J21">
        <f t="shared" si="0"/>
        <v>2.7567501750653385</v>
      </c>
      <c r="K21">
        <f t="shared" si="1"/>
        <v>0.31675017506533854</v>
      </c>
    </row>
    <row r="22" spans="1:11" ht="15" thickBot="1" x14ac:dyDescent="0.4">
      <c r="A22" s="3">
        <v>70.78</v>
      </c>
      <c r="B22" s="1">
        <v>2.3370000000000002</v>
      </c>
      <c r="J22">
        <f t="shared" si="0"/>
        <v>2.7291565330940237</v>
      </c>
      <c r="K22">
        <f t="shared" si="1"/>
        <v>0.39215653309402354</v>
      </c>
    </row>
    <row r="23" spans="1:11" ht="15" thickBot="1" x14ac:dyDescent="0.4">
      <c r="A23" s="3">
        <v>71</v>
      </c>
      <c r="B23" s="1">
        <v>2.2349999999999999</v>
      </c>
      <c r="J23">
        <f t="shared" si="0"/>
        <v>2.7002489081716945</v>
      </c>
      <c r="K23">
        <f t="shared" si="1"/>
        <v>0.46524890817169462</v>
      </c>
    </row>
    <row r="24" spans="1:11" ht="15" thickBot="1" x14ac:dyDescent="0.4">
      <c r="A24" s="3">
        <v>71.209999999999994</v>
      </c>
      <c r="B24" s="1">
        <v>2.1320000000000001</v>
      </c>
      <c r="J24">
        <f t="shared" si="0"/>
        <v>2.6726552662003797</v>
      </c>
      <c r="K24">
        <f t="shared" si="1"/>
        <v>0.54065526620037963</v>
      </c>
    </row>
    <row r="25" spans="1:11" ht="15" thickBot="1" x14ac:dyDescent="0.4">
      <c r="A25" s="3">
        <v>71.42</v>
      </c>
      <c r="B25" s="1">
        <v>2.0289999999999999</v>
      </c>
      <c r="J25">
        <f t="shared" si="0"/>
        <v>2.645061624229065</v>
      </c>
      <c r="K25">
        <f t="shared" si="1"/>
        <v>0.61606162422906507</v>
      </c>
    </row>
    <row r="26" spans="1:11" ht="15" thickBot="1" x14ac:dyDescent="0.4">
      <c r="A26" s="3">
        <v>71.790000000000006</v>
      </c>
      <c r="B26" s="1">
        <v>1.978</v>
      </c>
      <c r="J26">
        <f t="shared" si="0"/>
        <v>2.5964442550415097</v>
      </c>
      <c r="K26">
        <f t="shared" si="1"/>
        <v>0.61844425504150968</v>
      </c>
    </row>
    <row r="27" spans="1:11" ht="15" thickBot="1" x14ac:dyDescent="0.4">
      <c r="A27" s="3">
        <v>72.150000000000006</v>
      </c>
      <c r="B27" s="1">
        <v>1.9259999999999999</v>
      </c>
      <c r="J27">
        <f t="shared" si="0"/>
        <v>2.5491408688049724</v>
      </c>
      <c r="K27">
        <f t="shared" si="1"/>
        <v>0.62314086880497244</v>
      </c>
    </row>
    <row r="28" spans="1:11" ht="15" thickBot="1" x14ac:dyDescent="0.4">
      <c r="A28" s="3">
        <v>72.52</v>
      </c>
      <c r="B28" s="1">
        <v>1.875</v>
      </c>
      <c r="J28">
        <f t="shared" si="0"/>
        <v>2.5005234996174188</v>
      </c>
      <c r="K28">
        <f t="shared" si="1"/>
        <v>0.62552349961741882</v>
      </c>
    </row>
    <row r="29" spans="1:11" ht="15" thickBot="1" x14ac:dyDescent="0.4">
      <c r="A29" s="3">
        <v>72.88</v>
      </c>
      <c r="B29" s="1">
        <v>1.823</v>
      </c>
      <c r="J29">
        <f t="shared" si="0"/>
        <v>2.4532201133808798</v>
      </c>
      <c r="K29">
        <f t="shared" si="1"/>
        <v>0.6302201133808798</v>
      </c>
    </row>
    <row r="30" spans="1:11" ht="15" thickBot="1" x14ac:dyDescent="0.4">
      <c r="A30" s="3">
        <v>73.25</v>
      </c>
      <c r="B30" s="1">
        <v>1.772</v>
      </c>
      <c r="J30">
        <f t="shared" si="0"/>
        <v>2.4046027441933262</v>
      </c>
      <c r="K30">
        <f t="shared" si="1"/>
        <v>0.63260274419332618</v>
      </c>
    </row>
    <row r="31" spans="1:11" ht="15" thickBot="1" x14ac:dyDescent="0.4">
      <c r="A31" s="3">
        <v>73.47</v>
      </c>
      <c r="B31" s="1">
        <v>1.778</v>
      </c>
      <c r="J31">
        <f t="shared" si="0"/>
        <v>2.375695119270997</v>
      </c>
      <c r="K31">
        <f t="shared" si="1"/>
        <v>0.59769511927099694</v>
      </c>
    </row>
    <row r="32" spans="1:11" ht="15" thickBot="1" x14ac:dyDescent="0.4">
      <c r="A32" s="3">
        <v>73.7</v>
      </c>
      <c r="B32" s="1">
        <v>1.7849999999999999</v>
      </c>
      <c r="J32">
        <f t="shared" si="0"/>
        <v>2.3454735113976515</v>
      </c>
      <c r="K32">
        <f t="shared" si="1"/>
        <v>0.56047351139765156</v>
      </c>
    </row>
    <row r="33" spans="1:11" ht="15" thickBot="1" x14ac:dyDescent="0.4">
      <c r="A33" s="3">
        <v>73.92</v>
      </c>
      <c r="B33" s="1">
        <v>1.7909999999999999</v>
      </c>
      <c r="J33">
        <f t="shared" si="0"/>
        <v>2.3165658864753222</v>
      </c>
      <c r="K33">
        <f t="shared" si="1"/>
        <v>0.52556588647532232</v>
      </c>
    </row>
    <row r="34" spans="1:11" ht="15" thickBot="1" x14ac:dyDescent="0.4">
      <c r="A34" s="3">
        <v>74.150000000000006</v>
      </c>
      <c r="B34" s="1">
        <v>1.798</v>
      </c>
      <c r="J34">
        <f t="shared" si="0"/>
        <v>2.2863442786019768</v>
      </c>
      <c r="K34">
        <f t="shared" si="1"/>
        <v>0.48834427860197671</v>
      </c>
    </row>
    <row r="35" spans="1:11" ht="15" thickBot="1" x14ac:dyDescent="0.4">
      <c r="A35" s="3">
        <v>74.37</v>
      </c>
      <c r="B35" s="1">
        <v>1.804</v>
      </c>
      <c r="J35">
        <f t="shared" si="0"/>
        <v>2.2574366536796475</v>
      </c>
      <c r="K35">
        <f t="shared" si="1"/>
        <v>0.45343665367964747</v>
      </c>
    </row>
    <row r="36" spans="1:11" ht="15" thickBot="1" x14ac:dyDescent="0.4">
      <c r="A36" s="3">
        <v>74.47</v>
      </c>
      <c r="B36" s="1">
        <v>1.8260000000000001</v>
      </c>
      <c r="J36">
        <f t="shared" si="0"/>
        <v>2.2442968241694992</v>
      </c>
      <c r="K36">
        <f t="shared" si="1"/>
        <v>0.41829682416949909</v>
      </c>
    </row>
    <row r="37" spans="1:11" ht="15" thickBot="1" x14ac:dyDescent="0.4">
      <c r="A37" s="3">
        <v>74.58</v>
      </c>
      <c r="B37" s="1">
        <v>1.8480000000000001</v>
      </c>
      <c r="J37">
        <f t="shared" si="0"/>
        <v>2.2298430117083345</v>
      </c>
      <c r="K37">
        <f t="shared" si="1"/>
        <v>0.38184301170833446</v>
      </c>
    </row>
    <row r="38" spans="1:11" ht="15" thickBot="1" x14ac:dyDescent="0.4">
      <c r="A38" s="3">
        <v>74.680000000000007</v>
      </c>
      <c r="B38" s="1">
        <v>1.871</v>
      </c>
      <c r="J38">
        <f t="shared" si="0"/>
        <v>2.2167031821981844</v>
      </c>
      <c r="K38">
        <f t="shared" si="1"/>
        <v>0.34570318219818441</v>
      </c>
    </row>
    <row r="39" spans="1:11" ht="15" thickBot="1" x14ac:dyDescent="0.4">
      <c r="A39" s="3">
        <v>74.790000000000006</v>
      </c>
      <c r="B39" s="1">
        <v>1.893</v>
      </c>
      <c r="J39">
        <f t="shared" si="0"/>
        <v>2.2022493697370198</v>
      </c>
      <c r="K39">
        <f t="shared" si="1"/>
        <v>0.30924936973701977</v>
      </c>
    </row>
    <row r="40" spans="1:11" ht="15" thickBot="1" x14ac:dyDescent="0.4">
      <c r="A40" s="3">
        <v>74.89</v>
      </c>
      <c r="B40" s="1">
        <v>1.915</v>
      </c>
      <c r="J40">
        <f t="shared" si="0"/>
        <v>2.1891095402268697</v>
      </c>
      <c r="K40">
        <f t="shared" si="1"/>
        <v>0.27410954022686962</v>
      </c>
    </row>
    <row r="41" spans="1:11" ht="15" thickBot="1" x14ac:dyDescent="0.4">
      <c r="A41" s="3">
        <v>75.040000000000006</v>
      </c>
      <c r="B41" s="1">
        <v>1.9379999999999999</v>
      </c>
      <c r="J41">
        <f t="shared" si="0"/>
        <v>2.1693997959616453</v>
      </c>
      <c r="K41">
        <f t="shared" si="1"/>
        <v>0.23139979596164539</v>
      </c>
    </row>
    <row r="42" spans="1:11" ht="15" thickBot="1" x14ac:dyDescent="0.4">
      <c r="A42" s="3">
        <v>75.19</v>
      </c>
      <c r="B42" s="1">
        <v>1.9610000000000001</v>
      </c>
      <c r="J42">
        <f t="shared" si="0"/>
        <v>2.149690051696421</v>
      </c>
      <c r="K42">
        <f t="shared" si="1"/>
        <v>0.18869005169642095</v>
      </c>
    </row>
    <row r="43" spans="1:11" ht="15" thickBot="1" x14ac:dyDescent="0.4">
      <c r="A43" s="3">
        <v>75.349999999999994</v>
      </c>
      <c r="B43" s="1">
        <v>1.984</v>
      </c>
      <c r="J43">
        <f t="shared" si="0"/>
        <v>2.1286663244801822</v>
      </c>
      <c r="K43">
        <f t="shared" si="1"/>
        <v>0.14466632448018224</v>
      </c>
    </row>
    <row r="44" spans="1:11" ht="15" thickBot="1" x14ac:dyDescent="0.4">
      <c r="A44" s="3">
        <v>75.5</v>
      </c>
      <c r="B44" s="1">
        <v>2.0070000000000001</v>
      </c>
      <c r="J44">
        <f t="shared" si="0"/>
        <v>2.1089565802149561</v>
      </c>
      <c r="K44">
        <f t="shared" si="1"/>
        <v>0.10195658021495602</v>
      </c>
    </row>
    <row r="45" spans="1:11" ht="15" thickBot="1" x14ac:dyDescent="0.4">
      <c r="A45" s="3">
        <v>75.650000000000006</v>
      </c>
      <c r="B45" s="1">
        <v>2.0299999999999998</v>
      </c>
      <c r="J45">
        <f t="shared" si="0"/>
        <v>2.0892468359497318</v>
      </c>
      <c r="K45">
        <f t="shared" si="1"/>
        <v>5.9246835949732013E-2</v>
      </c>
    </row>
    <row r="46" spans="1:11" ht="15" thickBot="1" x14ac:dyDescent="0.4">
      <c r="A46" s="3">
        <v>75.81</v>
      </c>
      <c r="B46" s="1">
        <v>2.0230000000000001</v>
      </c>
      <c r="J46">
        <f t="shared" si="0"/>
        <v>2.068223108733493</v>
      </c>
      <c r="K46">
        <f t="shared" si="1"/>
        <v>4.5223108733492889E-2</v>
      </c>
    </row>
    <row r="47" spans="1:11" ht="15" thickBot="1" x14ac:dyDescent="0.4">
      <c r="A47" s="3">
        <v>75.98</v>
      </c>
      <c r="B47" s="1">
        <v>2.016</v>
      </c>
      <c r="J47">
        <f t="shared" si="0"/>
        <v>2.045885398566238</v>
      </c>
      <c r="K47">
        <f t="shared" si="1"/>
        <v>2.9885398566237953E-2</v>
      </c>
    </row>
    <row r="48" spans="1:11" ht="15" thickBot="1" x14ac:dyDescent="0.4">
      <c r="A48" s="3">
        <v>76.14</v>
      </c>
      <c r="B48" s="1">
        <v>2.0099999999999998</v>
      </c>
      <c r="J48">
        <f t="shared" si="0"/>
        <v>2.0248616713499992</v>
      </c>
      <c r="K48">
        <f t="shared" si="1"/>
        <v>1.4861671349999384E-2</v>
      </c>
    </row>
    <row r="49" spans="1:11" ht="15" thickBot="1" x14ac:dyDescent="0.4">
      <c r="A49" s="3">
        <v>76.31</v>
      </c>
      <c r="B49" s="1">
        <v>2.0030000000000001</v>
      </c>
      <c r="J49">
        <f t="shared" si="0"/>
        <v>2.0025239611827441</v>
      </c>
      <c r="K49">
        <f t="shared" si="1"/>
        <v>-4.7603881725599706E-4</v>
      </c>
    </row>
    <row r="50" spans="1:11" ht="15" thickBot="1" x14ac:dyDescent="0.4">
      <c r="A50" s="3">
        <v>76.47</v>
      </c>
      <c r="B50" s="1">
        <v>1.996</v>
      </c>
      <c r="J50">
        <f t="shared" si="0"/>
        <v>1.9815002339665053</v>
      </c>
      <c r="K50">
        <f t="shared" si="1"/>
        <v>-1.4499766033494677E-2</v>
      </c>
    </row>
    <row r="51" spans="1:11" ht="15" thickBot="1" x14ac:dyDescent="0.4">
      <c r="A51" s="4">
        <v>76.61</v>
      </c>
      <c r="B51" s="1">
        <v>2.0049999999999999</v>
      </c>
      <c r="J51">
        <f t="shared" si="0"/>
        <v>1.9631044726522955</v>
      </c>
      <c r="K51">
        <f t="shared" si="1"/>
        <v>-4.1895527347704409E-2</v>
      </c>
    </row>
    <row r="52" spans="1:11" ht="15" thickBot="1" x14ac:dyDescent="0.4">
      <c r="A52" s="4">
        <v>76.75</v>
      </c>
      <c r="B52" s="1">
        <v>2.0139999999999998</v>
      </c>
      <c r="J52">
        <f t="shared" si="0"/>
        <v>1.9447087113380856</v>
      </c>
      <c r="K52">
        <f t="shared" si="1"/>
        <v>-6.9291288661914141E-2</v>
      </c>
    </row>
    <row r="53" spans="1:11" ht="15" thickBot="1" x14ac:dyDescent="0.4">
      <c r="A53" s="4">
        <v>76.900000000000006</v>
      </c>
      <c r="B53" s="1">
        <v>2.024</v>
      </c>
      <c r="J53">
        <f t="shared" si="0"/>
        <v>1.9249989670728596</v>
      </c>
      <c r="K53">
        <f t="shared" si="1"/>
        <v>-9.9001032927140464E-2</v>
      </c>
    </row>
    <row r="54" spans="1:11" ht="15" thickBot="1" x14ac:dyDescent="0.4">
      <c r="A54" s="4">
        <v>77.040000000000006</v>
      </c>
      <c r="B54" s="1">
        <v>2.0329999999999999</v>
      </c>
      <c r="J54">
        <f t="shared" si="0"/>
        <v>1.9066032057586515</v>
      </c>
      <c r="K54">
        <f t="shared" si="1"/>
        <v>-0.12639679424134842</v>
      </c>
    </row>
    <row r="55" spans="1:11" ht="15" thickBot="1" x14ac:dyDescent="0.4">
      <c r="A55" s="4">
        <v>77.180000000000007</v>
      </c>
      <c r="B55" s="1">
        <v>2.0419999999999998</v>
      </c>
      <c r="J55">
        <f t="shared" si="0"/>
        <v>1.8882074444444417</v>
      </c>
      <c r="K55">
        <f t="shared" si="1"/>
        <v>-0.15379255555555815</v>
      </c>
    </row>
    <row r="56" spans="1:11" ht="15" thickBot="1" x14ac:dyDescent="0.4">
      <c r="A56" s="4">
        <v>77.38</v>
      </c>
      <c r="B56" s="1">
        <v>2.0449999999999999</v>
      </c>
      <c r="J56">
        <f t="shared" si="0"/>
        <v>1.8619277854241432</v>
      </c>
      <c r="K56">
        <f t="shared" si="1"/>
        <v>-0.18307221457585676</v>
      </c>
    </row>
    <row r="57" spans="1:11" ht="15" thickBot="1" x14ac:dyDescent="0.4">
      <c r="A57" s="4">
        <v>77.58</v>
      </c>
      <c r="B57" s="1">
        <v>2.0470000000000002</v>
      </c>
      <c r="J57">
        <f t="shared" si="0"/>
        <v>1.8356481264038429</v>
      </c>
      <c r="K57">
        <f t="shared" si="1"/>
        <v>-0.21135187359615726</v>
      </c>
    </row>
    <row r="58" spans="1:11" ht="15" thickBot="1" x14ac:dyDescent="0.4">
      <c r="A58" s="4">
        <v>77.790000000000006</v>
      </c>
      <c r="B58" s="1">
        <v>2.0499999999999998</v>
      </c>
      <c r="J58">
        <f t="shared" si="0"/>
        <v>1.8080544844325281</v>
      </c>
      <c r="K58">
        <f t="shared" si="1"/>
        <v>-0.24194551556747168</v>
      </c>
    </row>
    <row r="59" spans="1:11" ht="15" thickBot="1" x14ac:dyDescent="0.4">
      <c r="A59" s="4">
        <v>77.989999999999995</v>
      </c>
      <c r="B59" s="1">
        <v>2.052</v>
      </c>
      <c r="J59">
        <f t="shared" si="0"/>
        <v>1.7817748254122296</v>
      </c>
      <c r="K59">
        <f t="shared" si="1"/>
        <v>-0.2702251745877704</v>
      </c>
    </row>
    <row r="60" spans="1:11" ht="15" thickBot="1" x14ac:dyDescent="0.4">
      <c r="A60" s="4">
        <v>78.19</v>
      </c>
      <c r="B60" s="1">
        <v>2.0550000000000002</v>
      </c>
      <c r="J60">
        <f t="shared" si="0"/>
        <v>1.7554951663919294</v>
      </c>
      <c r="K60">
        <f t="shared" si="1"/>
        <v>-0.29950483360807079</v>
      </c>
    </row>
    <row r="61" spans="1:11" ht="15" thickBot="1" x14ac:dyDescent="0.4">
      <c r="A61" s="4">
        <v>78.34</v>
      </c>
      <c r="B61" s="1">
        <v>2.0190000000000001</v>
      </c>
      <c r="J61">
        <f t="shared" si="0"/>
        <v>1.7357854221267051</v>
      </c>
      <c r="K61">
        <f t="shared" si="1"/>
        <v>-0.28321457787329507</v>
      </c>
    </row>
    <row r="62" spans="1:11" ht="15" thickBot="1" x14ac:dyDescent="0.4">
      <c r="A62" s="4">
        <v>78.489999999999995</v>
      </c>
      <c r="B62" s="1">
        <v>1.9830000000000001</v>
      </c>
      <c r="J62">
        <f t="shared" si="0"/>
        <v>1.7160756778614807</v>
      </c>
      <c r="K62">
        <f t="shared" si="1"/>
        <v>-0.26692432213851935</v>
      </c>
    </row>
    <row r="63" spans="1:11" ht="15" thickBot="1" x14ac:dyDescent="0.4">
      <c r="A63" s="4">
        <v>78.64</v>
      </c>
      <c r="B63" s="1">
        <v>1.9470000000000001</v>
      </c>
      <c r="J63">
        <f t="shared" si="0"/>
        <v>1.6963659335962564</v>
      </c>
      <c r="K63">
        <f t="shared" si="1"/>
        <v>-0.25063406640374364</v>
      </c>
    </row>
    <row r="64" spans="1:11" ht="15" thickBot="1" x14ac:dyDescent="0.4">
      <c r="A64" s="4">
        <v>78.790000000000006</v>
      </c>
      <c r="B64" s="1">
        <v>1.911</v>
      </c>
      <c r="J64">
        <f t="shared" si="0"/>
        <v>1.6766561893310303</v>
      </c>
      <c r="K64">
        <f t="shared" si="1"/>
        <v>-0.2343438106689697</v>
      </c>
    </row>
    <row r="65" spans="1:11" ht="15" thickBot="1" x14ac:dyDescent="0.4">
      <c r="A65" s="4">
        <v>78.94</v>
      </c>
      <c r="B65" s="1">
        <v>1.875</v>
      </c>
      <c r="J65">
        <f t="shared" si="0"/>
        <v>1.6569464450658078</v>
      </c>
      <c r="K65">
        <f t="shared" si="1"/>
        <v>-0.21805355493419221</v>
      </c>
    </row>
    <row r="66" spans="1:11" ht="15" thickBot="1" x14ac:dyDescent="0.4">
      <c r="A66" s="4">
        <v>78.91</v>
      </c>
      <c r="B66" s="1">
        <v>1.855</v>
      </c>
      <c r="J66">
        <f t="shared" si="0"/>
        <v>1.660888393918853</v>
      </c>
      <c r="K66">
        <f t="shared" si="1"/>
        <v>-0.19411160608114697</v>
      </c>
    </row>
    <row r="67" spans="1:11" ht="15" thickBot="1" x14ac:dyDescent="0.4">
      <c r="A67" s="4">
        <v>78.89</v>
      </c>
      <c r="B67" s="1">
        <v>1.835</v>
      </c>
      <c r="J67">
        <f t="shared" ref="J67:J75" si="2">$H$3*A67+$H$4</f>
        <v>1.663516359820882</v>
      </c>
      <c r="K67">
        <f t="shared" ref="K67:K75" si="3">J67-B67</f>
        <v>-0.17148364017911799</v>
      </c>
    </row>
    <row r="68" spans="1:11" ht="15" thickBot="1" x14ac:dyDescent="0.4">
      <c r="A68" s="4">
        <v>78.86</v>
      </c>
      <c r="B68" s="1">
        <v>1.8160000000000001</v>
      </c>
      <c r="J68">
        <f t="shared" si="2"/>
        <v>1.6674583086739272</v>
      </c>
      <c r="K68">
        <f t="shared" si="3"/>
        <v>-0.14854169132607287</v>
      </c>
    </row>
    <row r="69" spans="1:11" ht="15" thickBot="1" x14ac:dyDescent="0.4">
      <c r="A69" s="4">
        <v>78.84</v>
      </c>
      <c r="B69" s="1">
        <v>1.796</v>
      </c>
      <c r="J69">
        <f t="shared" si="2"/>
        <v>1.6700862745759562</v>
      </c>
      <c r="K69">
        <f t="shared" si="3"/>
        <v>-0.12591372542404389</v>
      </c>
    </row>
    <row r="70" spans="1:11" ht="15" thickBot="1" x14ac:dyDescent="0.4">
      <c r="A70" s="4">
        <v>78.81</v>
      </c>
      <c r="B70" s="1">
        <v>1.776</v>
      </c>
      <c r="J70">
        <f t="shared" si="2"/>
        <v>1.6740282234290014</v>
      </c>
      <c r="K70">
        <f t="shared" si="3"/>
        <v>-0.10197177657099865</v>
      </c>
    </row>
    <row r="71" spans="1:11" ht="15" thickBot="1" x14ac:dyDescent="0.4">
      <c r="A71" s="4">
        <v>78.87</v>
      </c>
      <c r="B71" s="1">
        <v>1.778</v>
      </c>
      <c r="J71">
        <f t="shared" si="2"/>
        <v>1.6661443257229109</v>
      </c>
      <c r="K71">
        <f t="shared" si="3"/>
        <v>-0.11185567427708909</v>
      </c>
    </row>
    <row r="72" spans="1:11" x14ac:dyDescent="0.35">
      <c r="A72" s="4">
        <v>78.930000000000007</v>
      </c>
      <c r="B72" s="2">
        <v>1.7789999999999999</v>
      </c>
      <c r="J72">
        <f t="shared" si="2"/>
        <v>1.6582604280168205</v>
      </c>
      <c r="K72">
        <f t="shared" si="3"/>
        <v>-0.12073957198317942</v>
      </c>
    </row>
    <row r="73" spans="1:11" x14ac:dyDescent="0.35">
      <c r="A73" s="4">
        <v>78.989999999999995</v>
      </c>
      <c r="B73" s="2">
        <v>1.7809999999999999</v>
      </c>
      <c r="J73">
        <f t="shared" si="2"/>
        <v>1.6503765303107336</v>
      </c>
      <c r="K73">
        <f t="shared" si="3"/>
        <v>-0.1306234696892663</v>
      </c>
    </row>
    <row r="74" spans="1:11" x14ac:dyDescent="0.35">
      <c r="A74" s="4">
        <v>79.05</v>
      </c>
      <c r="B74" s="2">
        <v>1.782</v>
      </c>
      <c r="J74">
        <f t="shared" si="2"/>
        <v>1.6424926326046432</v>
      </c>
      <c r="K74">
        <f t="shared" si="3"/>
        <v>-0.13950736739535685</v>
      </c>
    </row>
    <row r="75" spans="1:11" x14ac:dyDescent="0.35">
      <c r="A75" s="4">
        <v>79.11</v>
      </c>
      <c r="B75" s="2">
        <v>1.784</v>
      </c>
      <c r="J75">
        <f t="shared" si="2"/>
        <v>1.6346087348985527</v>
      </c>
      <c r="K75">
        <f t="shared" si="3"/>
        <v>-0.14939126510144729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9398-617E-4A5E-B5DD-A25DD028723A}">
  <dimension ref="A1:T75"/>
  <sheetViews>
    <sheetView workbookViewId="0">
      <selection activeCell="L6" sqref="L6"/>
    </sheetView>
  </sheetViews>
  <sheetFormatPr defaultRowHeight="14.5" x14ac:dyDescent="0.35"/>
  <cols>
    <col min="1" max="1" width="21.1796875" bestFit="1" customWidth="1"/>
    <col min="2" max="2" width="9.81640625" bestFit="1" customWidth="1"/>
    <col min="3" max="3" width="8.81640625" bestFit="1" customWidth="1"/>
    <col min="4" max="5" width="10.81640625" bestFit="1" customWidth="1"/>
    <col min="6" max="6" width="11.81640625" bestFit="1" customWidth="1"/>
    <col min="7" max="7" width="18.7265625" bestFit="1" customWidth="1"/>
    <col min="8" max="8" width="5.1796875" customWidth="1"/>
    <col min="9" max="9" width="10.453125" bestFit="1" customWidth="1"/>
  </cols>
  <sheetData>
    <row r="1" spans="1:17" ht="16.5" x14ac:dyDescent="0.3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2" t="s">
        <v>1</v>
      </c>
      <c r="H1" s="2"/>
      <c r="I1" s="3" t="s">
        <v>3</v>
      </c>
      <c r="J1" s="3" t="s">
        <v>4</v>
      </c>
      <c r="L1" t="s">
        <v>16</v>
      </c>
    </row>
    <row r="2" spans="1:17" x14ac:dyDescent="0.35">
      <c r="A2" s="3">
        <v>68.14</v>
      </c>
      <c r="B2" s="3">
        <f>A2^2</f>
        <v>4643.0596000000005</v>
      </c>
      <c r="C2" s="3">
        <f>A2^3</f>
        <v>316378.08114400005</v>
      </c>
      <c r="D2" s="3">
        <f>A2^4</f>
        <v>21558002.449152164</v>
      </c>
      <c r="E2" s="3">
        <f>A2^5</f>
        <v>1468962286.8852284</v>
      </c>
      <c r="F2" s="3">
        <f>A2^6</f>
        <v>100095090228.35948</v>
      </c>
      <c r="G2" s="2">
        <v>3.1480000000000001</v>
      </c>
      <c r="H2" s="2"/>
      <c r="I2">
        <f t="shared" ref="I2:I33" si="0">$M$19+$M$20*A2+$M$21*B2+$M$22*C2+$M$23*D2+$M$24*E2+$M$25*F2</f>
        <v>3.4332305534517218</v>
      </c>
      <c r="J2">
        <f>I2-G2</f>
        <v>0.28523055345172166</v>
      </c>
    </row>
    <row r="3" spans="1:17" x14ac:dyDescent="0.35">
      <c r="A3" s="3">
        <v>68.33</v>
      </c>
      <c r="B3" s="3">
        <f t="shared" ref="B3:B66" si="1">A3^2</f>
        <v>4668.9888999999994</v>
      </c>
      <c r="C3" s="3">
        <f t="shared" ref="C3:C66" si="2">A3^3</f>
        <v>319032.01153699995</v>
      </c>
      <c r="D3" s="3">
        <f t="shared" ref="D3:D66" si="3">A3^4</f>
        <v>21799457.348323204</v>
      </c>
      <c r="E3" s="3">
        <f t="shared" ref="E3:E66" si="4">A3^5</f>
        <v>1489556920.6109245</v>
      </c>
      <c r="F3" s="3">
        <f t="shared" ref="F3:F66" si="5">A3^6</f>
        <v>101781424385.34445</v>
      </c>
      <c r="G3" s="2">
        <v>3.2029999999999998</v>
      </c>
      <c r="H3" s="2"/>
      <c r="I3">
        <f t="shared" si="0"/>
        <v>3.4370717708916345</v>
      </c>
      <c r="J3">
        <f t="shared" ref="J3:J66" si="6">I3-G3</f>
        <v>0.23407177089163467</v>
      </c>
      <c r="L3" t="s">
        <v>17</v>
      </c>
    </row>
    <row r="4" spans="1:17" ht="15" thickBot="1" x14ac:dyDescent="0.4">
      <c r="A4" s="3">
        <v>68.52</v>
      </c>
      <c r="B4" s="3">
        <f t="shared" si="1"/>
        <v>4694.9903999999997</v>
      </c>
      <c r="C4" s="3">
        <f t="shared" si="2"/>
        <v>321700.74220799998</v>
      </c>
      <c r="D4" s="3">
        <f t="shared" si="3"/>
        <v>22042934.856092159</v>
      </c>
      <c r="E4" s="3">
        <f t="shared" si="4"/>
        <v>1510381896.3394346</v>
      </c>
      <c r="F4" s="3">
        <f t="shared" si="5"/>
        <v>103491367537.17805</v>
      </c>
      <c r="G4" s="2">
        <v>3.2570000000000001</v>
      </c>
      <c r="H4" s="2"/>
      <c r="I4">
        <f t="shared" si="0"/>
        <v>3.4268745425652014</v>
      </c>
      <c r="J4">
        <f t="shared" si="6"/>
        <v>0.16987454256520129</v>
      </c>
    </row>
    <row r="5" spans="1:17" x14ac:dyDescent="0.35">
      <c r="A5" s="3">
        <v>68.709999999999994</v>
      </c>
      <c r="B5" s="3">
        <f t="shared" si="1"/>
        <v>4721.0640999999987</v>
      </c>
      <c r="C5" s="3">
        <f t="shared" si="2"/>
        <v>324384.31431099988</v>
      </c>
      <c r="D5" s="3">
        <f t="shared" si="3"/>
        <v>22288446.236308798</v>
      </c>
      <c r="E5" s="3">
        <f t="shared" si="4"/>
        <v>1531439140.8967774</v>
      </c>
      <c r="F5" s="3">
        <f t="shared" si="5"/>
        <v>105225183371.01755</v>
      </c>
      <c r="G5" s="2">
        <v>3.3109999999999999</v>
      </c>
      <c r="H5" s="2"/>
      <c r="I5">
        <f t="shared" si="0"/>
        <v>3.4039688909797405</v>
      </c>
      <c r="J5">
        <f t="shared" si="6"/>
        <v>9.2968890979740593E-2</v>
      </c>
      <c r="L5" s="7" t="s">
        <v>18</v>
      </c>
      <c r="M5" s="7"/>
    </row>
    <row r="6" spans="1:17" x14ac:dyDescent="0.35">
      <c r="A6" s="3">
        <v>68.900000000000006</v>
      </c>
      <c r="B6" s="3">
        <f t="shared" si="1"/>
        <v>4747.2100000000009</v>
      </c>
      <c r="C6" s="3">
        <f t="shared" si="2"/>
        <v>327082.76900000009</v>
      </c>
      <c r="D6" s="3">
        <f t="shared" si="3"/>
        <v>22536002.784100007</v>
      </c>
      <c r="E6" s="3">
        <f t="shared" si="4"/>
        <v>1552730591.8244905</v>
      </c>
      <c r="F6" s="3">
        <f t="shared" si="5"/>
        <v>106983137776.70741</v>
      </c>
      <c r="G6" s="2">
        <v>3.3650000000000002</v>
      </c>
      <c r="H6" s="2"/>
      <c r="I6">
        <f t="shared" si="0"/>
        <v>3.3696511343005113</v>
      </c>
      <c r="J6">
        <f t="shared" si="6"/>
        <v>4.6511343005111172E-3</v>
      </c>
      <c r="L6" t="s">
        <v>19</v>
      </c>
      <c r="M6">
        <v>0.95437552244946111</v>
      </c>
    </row>
    <row r="7" spans="1:17" x14ac:dyDescent="0.35">
      <c r="A7" s="3">
        <v>69.09</v>
      </c>
      <c r="B7" s="3">
        <f t="shared" si="1"/>
        <v>4773.4281000000001</v>
      </c>
      <c r="C7" s="3">
        <f t="shared" si="2"/>
        <v>329796.147429</v>
      </c>
      <c r="D7" s="3">
        <f t="shared" si="3"/>
        <v>22785615.825869612</v>
      </c>
      <c r="E7" s="3">
        <f t="shared" si="4"/>
        <v>1574258197.4093316</v>
      </c>
      <c r="F7" s="3">
        <f t="shared" si="5"/>
        <v>108765498859.01071</v>
      </c>
      <c r="G7" s="2">
        <v>3.419</v>
      </c>
      <c r="H7" s="2"/>
      <c r="I7">
        <f t="shared" si="0"/>
        <v>3.3251827451094869</v>
      </c>
      <c r="J7">
        <f t="shared" si="6"/>
        <v>-9.381725489051318E-2</v>
      </c>
      <c r="L7" t="s">
        <v>20</v>
      </c>
      <c r="M7">
        <v>0.9108326378506818</v>
      </c>
    </row>
    <row r="8" spans="1:17" ht="15" thickBot="1" x14ac:dyDescent="0.4">
      <c r="A8" s="3">
        <v>69.28</v>
      </c>
      <c r="B8" s="3">
        <f t="shared" si="1"/>
        <v>4799.7183999999997</v>
      </c>
      <c r="C8" s="3">
        <f t="shared" si="2"/>
        <v>332524.49075200001</v>
      </c>
      <c r="D8" s="3">
        <f t="shared" si="3"/>
        <v>23037296.719298556</v>
      </c>
      <c r="E8" s="3">
        <f t="shared" si="4"/>
        <v>1596023916.7130041</v>
      </c>
      <c r="F8" s="3">
        <f t="shared" si="5"/>
        <v>110572536949.87691</v>
      </c>
      <c r="G8" s="2">
        <v>3.4740000000000002</v>
      </c>
      <c r="H8" s="2"/>
      <c r="I8">
        <f t="shared" si="0"/>
        <v>3.2717891999855055</v>
      </c>
      <c r="J8">
        <f t="shared" si="6"/>
        <v>-0.20221080001449465</v>
      </c>
      <c r="L8" t="s">
        <v>21</v>
      </c>
      <c r="M8">
        <v>0.87667800816086627</v>
      </c>
    </row>
    <row r="9" spans="1:17" ht="15" thickBot="1" x14ac:dyDescent="0.4">
      <c r="A9" s="3">
        <v>69.47</v>
      </c>
      <c r="B9" s="3">
        <f t="shared" si="1"/>
        <v>4826.0808999999999</v>
      </c>
      <c r="C9" s="3">
        <f t="shared" si="2"/>
        <v>335267.84012299997</v>
      </c>
      <c r="D9" s="3">
        <f t="shared" si="3"/>
        <v>23291056.853344809</v>
      </c>
      <c r="E9" s="3">
        <f t="shared" si="4"/>
        <v>1618029719.6018639</v>
      </c>
      <c r="F9" s="3">
        <f t="shared" si="5"/>
        <v>112404524620.74149</v>
      </c>
      <c r="G9" s="1">
        <v>3.528</v>
      </c>
      <c r="H9" s="8"/>
      <c r="I9">
        <f t="shared" si="0"/>
        <v>3.2106588202877901</v>
      </c>
      <c r="J9">
        <f t="shared" si="6"/>
        <v>-0.31734117971220988</v>
      </c>
      <c r="L9" t="s">
        <v>22</v>
      </c>
      <c r="M9">
        <v>0.18239000008777134</v>
      </c>
    </row>
    <row r="10" spans="1:17" ht="15" thickBot="1" x14ac:dyDescent="0.4">
      <c r="A10" s="3">
        <v>69.66</v>
      </c>
      <c r="B10" s="3">
        <f t="shared" si="1"/>
        <v>4852.5155999999997</v>
      </c>
      <c r="C10" s="3">
        <f t="shared" si="2"/>
        <v>338026.23669599998</v>
      </c>
      <c r="D10" s="3">
        <f t="shared" si="3"/>
        <v>23546907.648243356</v>
      </c>
      <c r="E10" s="3">
        <f t="shared" si="4"/>
        <v>1640277586.7766321</v>
      </c>
      <c r="F10" s="3">
        <f t="shared" si="5"/>
        <v>114261736694.8602</v>
      </c>
      <c r="G10" s="1">
        <v>3.5819999999999999</v>
      </c>
      <c r="H10" s="8"/>
      <c r="I10">
        <f t="shared" si="0"/>
        <v>3.142941604484804</v>
      </c>
      <c r="J10">
        <f t="shared" si="6"/>
        <v>-0.43905839551519588</v>
      </c>
      <c r="L10" s="5" t="s">
        <v>23</v>
      </c>
      <c r="M10" s="5">
        <v>74</v>
      </c>
    </row>
    <row r="11" spans="1:17" ht="15" thickBot="1" x14ac:dyDescent="0.4">
      <c r="A11" s="3">
        <v>69.75</v>
      </c>
      <c r="B11" s="3">
        <f t="shared" si="1"/>
        <v>4865.0625</v>
      </c>
      <c r="C11" s="3">
        <f t="shared" si="2"/>
        <v>339338.109375</v>
      </c>
      <c r="D11" s="3">
        <f t="shared" si="3"/>
        <v>23668833.12890625</v>
      </c>
      <c r="E11" s="3">
        <f t="shared" si="4"/>
        <v>1650901110.7412109</v>
      </c>
      <c r="F11" s="3">
        <f t="shared" si="5"/>
        <v>115150352474.19946</v>
      </c>
      <c r="G11" s="1">
        <v>3.512</v>
      </c>
      <c r="H11" s="8"/>
      <c r="I11">
        <f t="shared" si="0"/>
        <v>3.1088871471656603</v>
      </c>
      <c r="J11">
        <f t="shared" si="6"/>
        <v>-0.40311285283433973</v>
      </c>
    </row>
    <row r="12" spans="1:17" ht="15" thickBot="1" x14ac:dyDescent="0.4">
      <c r="A12" s="3">
        <v>69.84</v>
      </c>
      <c r="B12" s="3">
        <f t="shared" si="1"/>
        <v>4877.6256000000003</v>
      </c>
      <c r="C12" s="3">
        <f t="shared" si="2"/>
        <v>340653.37190400006</v>
      </c>
      <c r="D12" s="3">
        <f t="shared" si="3"/>
        <v>23791231.493775364</v>
      </c>
      <c r="E12" s="3">
        <f t="shared" si="4"/>
        <v>1661579607.5252714</v>
      </c>
      <c r="F12" s="3">
        <f t="shared" si="5"/>
        <v>116044719789.56496</v>
      </c>
      <c r="G12" s="1">
        <v>3.4430000000000001</v>
      </c>
      <c r="H12" s="8"/>
      <c r="I12">
        <f t="shared" si="0"/>
        <v>3.0737193834065692</v>
      </c>
      <c r="J12">
        <f t="shared" si="6"/>
        <v>-0.36928061659343081</v>
      </c>
      <c r="L12" t="s">
        <v>24</v>
      </c>
    </row>
    <row r="13" spans="1:17" ht="15" thickBot="1" x14ac:dyDescent="0.4">
      <c r="A13" s="3">
        <v>69.930000000000007</v>
      </c>
      <c r="B13" s="3">
        <f t="shared" si="1"/>
        <v>4890.2049000000006</v>
      </c>
      <c r="C13" s="3">
        <f t="shared" si="2"/>
        <v>341972.0286570001</v>
      </c>
      <c r="D13" s="3">
        <f t="shared" si="3"/>
        <v>23914103.963984016</v>
      </c>
      <c r="E13" s="3">
        <f t="shared" si="4"/>
        <v>1672313290.2014024</v>
      </c>
      <c r="F13" s="3">
        <f t="shared" si="5"/>
        <v>116944868383.78407</v>
      </c>
      <c r="G13" s="1">
        <v>3.3730000000000002</v>
      </c>
      <c r="H13" s="8"/>
      <c r="I13">
        <f t="shared" si="0"/>
        <v>3.0375511027414177</v>
      </c>
      <c r="J13">
        <f t="shared" si="6"/>
        <v>-0.33544889725858251</v>
      </c>
      <c r="L13" s="6"/>
      <c r="M13" s="6" t="s">
        <v>25</v>
      </c>
      <c r="N13" s="6" t="s">
        <v>26</v>
      </c>
      <c r="O13" s="6" t="s">
        <v>27</v>
      </c>
      <c r="P13" s="6" t="s">
        <v>28</v>
      </c>
      <c r="Q13" s="6" t="s">
        <v>29</v>
      </c>
    </row>
    <row r="14" spans="1:17" ht="15" thickBot="1" x14ac:dyDescent="0.4">
      <c r="A14" s="3">
        <v>70.02</v>
      </c>
      <c r="B14" s="3">
        <f t="shared" si="1"/>
        <v>4902.8003999999992</v>
      </c>
      <c r="C14" s="3">
        <f t="shared" si="2"/>
        <v>343294.08400799992</v>
      </c>
      <c r="D14" s="3">
        <f t="shared" si="3"/>
        <v>24037451.762240153</v>
      </c>
      <c r="E14" s="3">
        <f t="shared" si="4"/>
        <v>1683102372.3920555</v>
      </c>
      <c r="F14" s="3">
        <f t="shared" si="5"/>
        <v>117850828114.89171</v>
      </c>
      <c r="G14" s="1">
        <v>3.3039999999999998</v>
      </c>
      <c r="H14" s="8"/>
      <c r="I14">
        <f t="shared" si="0"/>
        <v>3.0004929894312227</v>
      </c>
      <c r="J14">
        <f t="shared" si="6"/>
        <v>-0.30350701056877716</v>
      </c>
      <c r="L14" t="s">
        <v>30</v>
      </c>
      <c r="M14">
        <v>6</v>
      </c>
      <c r="N14">
        <v>23.446812100728646</v>
      </c>
      <c r="O14">
        <v>3.9078020167881076</v>
      </c>
      <c r="P14">
        <v>176.20643500268008</v>
      </c>
      <c r="Q14">
        <v>5.0697689736241474E-39</v>
      </c>
    </row>
    <row r="15" spans="1:17" ht="15" thickBot="1" x14ac:dyDescent="0.4">
      <c r="A15" s="3">
        <v>70.11</v>
      </c>
      <c r="B15" s="3">
        <f t="shared" si="1"/>
        <v>4915.4120999999996</v>
      </c>
      <c r="C15" s="3">
        <f t="shared" si="2"/>
        <v>344619.54233099998</v>
      </c>
      <c r="D15" s="3">
        <f t="shared" si="3"/>
        <v>24161276.112826407</v>
      </c>
      <c r="E15" s="3">
        <f t="shared" si="4"/>
        <v>1693947068.2702594</v>
      </c>
      <c r="F15" s="3">
        <f t="shared" si="5"/>
        <v>118762628956.42787</v>
      </c>
      <c r="G15" s="1">
        <v>3.234</v>
      </c>
      <c r="H15" s="8"/>
      <c r="I15">
        <f t="shared" si="0"/>
        <v>2.9626535941133625</v>
      </c>
      <c r="J15">
        <f t="shared" si="6"/>
        <v>-0.2713464058866375</v>
      </c>
      <c r="L15" t="s">
        <v>31</v>
      </c>
      <c r="M15">
        <v>69</v>
      </c>
      <c r="N15">
        <v>2.295361737109189</v>
      </c>
      <c r="O15">
        <v>3.3266112132017231E-2</v>
      </c>
    </row>
    <row r="16" spans="1:17" ht="15" thickBot="1" x14ac:dyDescent="0.4">
      <c r="A16" s="3">
        <v>70.16</v>
      </c>
      <c r="B16" s="3">
        <f t="shared" si="1"/>
        <v>4922.4255999999996</v>
      </c>
      <c r="C16" s="3">
        <f t="shared" si="2"/>
        <v>345357.38009599998</v>
      </c>
      <c r="D16" s="3">
        <f t="shared" si="3"/>
        <v>24230273.787535354</v>
      </c>
      <c r="E16" s="3">
        <f t="shared" si="4"/>
        <v>1699996008.9334805</v>
      </c>
      <c r="F16" s="3">
        <f t="shared" si="5"/>
        <v>119271719986.77298</v>
      </c>
      <c r="G16" s="1">
        <v>3.0960000000000001</v>
      </c>
      <c r="H16" s="8"/>
      <c r="I16">
        <f t="shared" si="0"/>
        <v>2.9413333658012562</v>
      </c>
      <c r="J16">
        <f t="shared" si="6"/>
        <v>-0.15466663419874394</v>
      </c>
      <c r="L16" s="5" t="s">
        <v>32</v>
      </c>
      <c r="M16" s="5">
        <v>75</v>
      </c>
      <c r="N16" s="5">
        <v>25.742173837837836</v>
      </c>
      <c r="O16" s="5"/>
      <c r="P16" s="5"/>
      <c r="Q16" s="5"/>
    </row>
    <row r="17" spans="1:20" ht="15" thickBot="1" x14ac:dyDescent="0.4">
      <c r="A17" s="3">
        <v>70.209999999999994</v>
      </c>
      <c r="B17" s="3">
        <f t="shared" si="1"/>
        <v>4929.4440999999988</v>
      </c>
      <c r="C17" s="3">
        <f t="shared" si="2"/>
        <v>346096.27026099991</v>
      </c>
      <c r="D17" s="3">
        <f t="shared" si="3"/>
        <v>24299419.135024797</v>
      </c>
      <c r="E17" s="3">
        <f t="shared" si="4"/>
        <v>1706062217.4700909</v>
      </c>
      <c r="F17" s="3">
        <f t="shared" si="5"/>
        <v>119782628288.57506</v>
      </c>
      <c r="G17" s="1">
        <v>2.9580000000000002</v>
      </c>
      <c r="H17" s="8"/>
      <c r="I17">
        <f t="shared" si="0"/>
        <v>2.919822826544987</v>
      </c>
      <c r="J17">
        <f t="shared" si="6"/>
        <v>-3.8177173455013147E-2</v>
      </c>
    </row>
    <row r="18" spans="1:20" ht="15" thickBot="1" x14ac:dyDescent="0.4">
      <c r="A18" s="3">
        <v>70.260000000000005</v>
      </c>
      <c r="B18" s="3">
        <f t="shared" si="1"/>
        <v>4936.4676000000009</v>
      </c>
      <c r="C18" s="3">
        <f t="shared" si="2"/>
        <v>346836.21357600007</v>
      </c>
      <c r="D18" s="3">
        <f t="shared" si="3"/>
        <v>24368712.365849767</v>
      </c>
      <c r="E18" s="3">
        <f t="shared" si="4"/>
        <v>1712145730.8246047</v>
      </c>
      <c r="F18" s="3">
        <f t="shared" si="5"/>
        <v>120295359047.73674</v>
      </c>
      <c r="G18" s="1">
        <v>2.819</v>
      </c>
      <c r="H18" s="8"/>
      <c r="I18">
        <f t="shared" si="0"/>
        <v>2.8981397167372052</v>
      </c>
      <c r="J18">
        <f t="shared" si="6"/>
        <v>7.9139716737205212E-2</v>
      </c>
      <c r="L18" s="6"/>
      <c r="M18" s="6" t="s">
        <v>33</v>
      </c>
      <c r="N18" s="6" t="s">
        <v>22</v>
      </c>
      <c r="O18" s="6" t="s">
        <v>34</v>
      </c>
      <c r="P18" s="6" t="s">
        <v>35</v>
      </c>
      <c r="Q18" s="6" t="s">
        <v>36</v>
      </c>
      <c r="R18" s="6" t="s">
        <v>37</v>
      </c>
      <c r="S18" s="6" t="s">
        <v>38</v>
      </c>
      <c r="T18" s="6" t="s">
        <v>39</v>
      </c>
    </row>
    <row r="19" spans="1:20" ht="15" thickBot="1" x14ac:dyDescent="0.4">
      <c r="A19" s="3">
        <v>70.31</v>
      </c>
      <c r="B19" s="3">
        <f t="shared" si="1"/>
        <v>4943.4961000000003</v>
      </c>
      <c r="C19" s="3">
        <f t="shared" si="2"/>
        <v>347577.21079100005</v>
      </c>
      <c r="D19" s="3">
        <f t="shared" si="3"/>
        <v>24438153.690715212</v>
      </c>
      <c r="E19" s="3">
        <f t="shared" si="4"/>
        <v>1718246585.9941866</v>
      </c>
      <c r="F19" s="3">
        <f t="shared" si="5"/>
        <v>120809917461.25127</v>
      </c>
      <c r="G19" s="1">
        <v>2.681</v>
      </c>
      <c r="H19" s="8"/>
      <c r="I19">
        <f t="shared" si="0"/>
        <v>2.8763015650147281</v>
      </c>
      <c r="J19">
        <f t="shared" si="6"/>
        <v>0.19530156501472806</v>
      </c>
      <c r="L19" t="s">
        <v>40</v>
      </c>
      <c r="M19">
        <v>-3959.9788435107475</v>
      </c>
      <c r="N19">
        <v>557.06635163715464</v>
      </c>
      <c r="O19">
        <v>-7.1086304744000781</v>
      </c>
      <c r="P19">
        <v>8.4511372932949904E-10</v>
      </c>
      <c r="Q19">
        <v>-5071.2958076198047</v>
      </c>
      <c r="R19">
        <v>-2848.6618794016908</v>
      </c>
      <c r="S19">
        <v>-5071.2958076198047</v>
      </c>
      <c r="T19">
        <v>-2848.6618794016908</v>
      </c>
    </row>
    <row r="20" spans="1:20" ht="15" thickBot="1" x14ac:dyDescent="0.4">
      <c r="A20" s="3">
        <v>70.36</v>
      </c>
      <c r="B20" s="3">
        <f t="shared" si="1"/>
        <v>4950.5295999999998</v>
      </c>
      <c r="C20" s="3">
        <f t="shared" si="2"/>
        <v>348319.26265599998</v>
      </c>
      <c r="D20" s="3">
        <f t="shared" si="3"/>
        <v>24507743.320476159</v>
      </c>
      <c r="E20" s="3">
        <f t="shared" si="4"/>
        <v>1724364820.0287025</v>
      </c>
      <c r="F20" s="3">
        <f t="shared" si="5"/>
        <v>121326308737.21951</v>
      </c>
      <c r="G20" s="1">
        <v>2.5430000000000001</v>
      </c>
      <c r="H20" s="8"/>
      <c r="I20">
        <f t="shared" si="0"/>
        <v>2.8543256866687443</v>
      </c>
      <c r="J20">
        <f t="shared" si="6"/>
        <v>0.31132568666874416</v>
      </c>
      <c r="L20" t="s">
        <v>0</v>
      </c>
      <c r="M20">
        <v>0</v>
      </c>
      <c r="N20">
        <v>0</v>
      </c>
      <c r="O20">
        <v>65535</v>
      </c>
      <c r="P20" t="e">
        <v>#NUM!</v>
      </c>
      <c r="Q20">
        <v>0</v>
      </c>
      <c r="R20">
        <v>0</v>
      </c>
      <c r="S20">
        <v>0</v>
      </c>
      <c r="T20">
        <v>0</v>
      </c>
    </row>
    <row r="21" spans="1:20" ht="15" thickBot="1" x14ac:dyDescent="0.4">
      <c r="A21" s="3">
        <v>70.569999999999993</v>
      </c>
      <c r="B21" s="3">
        <f t="shared" si="1"/>
        <v>4980.1248999999989</v>
      </c>
      <c r="C21" s="3">
        <f t="shared" si="2"/>
        <v>351447.41419299989</v>
      </c>
      <c r="D21" s="3">
        <f t="shared" si="3"/>
        <v>24801644.0196</v>
      </c>
      <c r="E21" s="3">
        <f t="shared" si="4"/>
        <v>1750252018.463172</v>
      </c>
      <c r="F21" s="3">
        <f t="shared" si="5"/>
        <v>123515284942.94601</v>
      </c>
      <c r="G21" s="1">
        <v>2.44</v>
      </c>
      <c r="H21" s="8"/>
      <c r="I21">
        <f t="shared" si="0"/>
        <v>2.7609050246064726</v>
      </c>
      <c r="J21">
        <f t="shared" si="6"/>
        <v>0.32090502460647263</v>
      </c>
      <c r="L21" t="s">
        <v>11</v>
      </c>
      <c r="M21">
        <v>0</v>
      </c>
      <c r="N21">
        <v>0</v>
      </c>
      <c r="O21">
        <v>65535</v>
      </c>
      <c r="P21" t="e">
        <v>#NUM!</v>
      </c>
      <c r="Q21">
        <v>0</v>
      </c>
      <c r="R21">
        <v>0</v>
      </c>
      <c r="S21">
        <v>0</v>
      </c>
      <c r="T21">
        <v>0</v>
      </c>
    </row>
    <row r="22" spans="1:20" ht="15" thickBot="1" x14ac:dyDescent="0.4">
      <c r="A22" s="3">
        <v>70.78</v>
      </c>
      <c r="B22" s="3">
        <f t="shared" si="1"/>
        <v>5009.8083999999999</v>
      </c>
      <c r="C22" s="3">
        <f t="shared" si="2"/>
        <v>354594.23855200002</v>
      </c>
      <c r="D22" s="3">
        <f t="shared" si="3"/>
        <v>25098180.204710558</v>
      </c>
      <c r="E22" s="3">
        <f t="shared" si="4"/>
        <v>1776449194.8894134</v>
      </c>
      <c r="F22" s="3">
        <f t="shared" si="5"/>
        <v>125737074014.27267</v>
      </c>
      <c r="G22" s="1">
        <v>2.3370000000000002</v>
      </c>
      <c r="H22" s="8"/>
      <c r="I22">
        <f t="shared" si="0"/>
        <v>2.6665759884454019</v>
      </c>
      <c r="J22">
        <f t="shared" si="6"/>
        <v>0.3295759884454017</v>
      </c>
      <c r="L22" t="s">
        <v>12</v>
      </c>
      <c r="M22">
        <v>0.20440257624048105</v>
      </c>
      <c r="N22">
        <v>2.7981252002745392E-2</v>
      </c>
      <c r="O22">
        <v>7.3049832159199317</v>
      </c>
      <c r="P22" t="e">
        <v>#NUM!</v>
      </c>
      <c r="Q22">
        <v>0.14858150584864399</v>
      </c>
      <c r="R22">
        <v>0.26022364663231812</v>
      </c>
      <c r="S22">
        <v>0.14858150584864399</v>
      </c>
      <c r="T22">
        <v>0.26022364663231812</v>
      </c>
    </row>
    <row r="23" spans="1:20" ht="15" thickBot="1" x14ac:dyDescent="0.4">
      <c r="A23" s="3">
        <v>71</v>
      </c>
      <c r="B23" s="3">
        <f t="shared" si="1"/>
        <v>5041</v>
      </c>
      <c r="C23" s="3">
        <f t="shared" si="2"/>
        <v>357911</v>
      </c>
      <c r="D23" s="3">
        <f t="shared" si="3"/>
        <v>25411681</v>
      </c>
      <c r="E23" s="3">
        <f t="shared" si="4"/>
        <v>1804229351</v>
      </c>
      <c r="F23" s="3">
        <f t="shared" si="5"/>
        <v>128100283921</v>
      </c>
      <c r="G23" s="1">
        <v>2.2349999999999999</v>
      </c>
      <c r="H23" s="8"/>
      <c r="I23">
        <f t="shared" si="0"/>
        <v>2.5680387874672306</v>
      </c>
      <c r="J23">
        <f t="shared" si="6"/>
        <v>0.3330387874672307</v>
      </c>
      <c r="L23" t="s">
        <v>13</v>
      </c>
      <c r="M23">
        <v>-6.2883764001808087E-3</v>
      </c>
      <c r="N23">
        <v>8.5448654268798776E-4</v>
      </c>
      <c r="O23">
        <v>-7.3592456826754065</v>
      </c>
      <c r="P23">
        <v>2.9589198917394463E-10</v>
      </c>
      <c r="Q23">
        <v>-7.9930304107870432E-3</v>
      </c>
      <c r="R23">
        <v>-4.5837223895745741E-3</v>
      </c>
      <c r="S23">
        <v>-7.9930304107870432E-3</v>
      </c>
      <c r="T23">
        <v>-4.5837223895745741E-3</v>
      </c>
    </row>
    <row r="24" spans="1:20" ht="15" thickBot="1" x14ac:dyDescent="0.4">
      <c r="A24" s="3">
        <v>71.209999999999994</v>
      </c>
      <c r="B24" s="3">
        <f t="shared" si="1"/>
        <v>5070.8640999999989</v>
      </c>
      <c r="C24" s="3">
        <f t="shared" si="2"/>
        <v>361096.23256099987</v>
      </c>
      <c r="D24" s="3">
        <f t="shared" si="3"/>
        <v>25713662.7206688</v>
      </c>
      <c r="E24" s="3">
        <f t="shared" si="4"/>
        <v>1831069922.338825</v>
      </c>
      <c r="F24" s="3">
        <f t="shared" si="5"/>
        <v>130390489169.74771</v>
      </c>
      <c r="G24" s="1">
        <v>2.1320000000000001</v>
      </c>
      <c r="H24" s="8"/>
      <c r="I24">
        <f t="shared" si="0"/>
        <v>2.4753769510207349</v>
      </c>
      <c r="J24">
        <f t="shared" si="6"/>
        <v>0.34337695102073473</v>
      </c>
      <c r="L24" t="s">
        <v>14</v>
      </c>
      <c r="M24">
        <v>6.8688352062464282E-5</v>
      </c>
      <c r="N24">
        <v>9.2708736413235531E-6</v>
      </c>
      <c r="O24">
        <v>7.4090484586367431</v>
      </c>
      <c r="P24">
        <v>2.4009336761027321E-10</v>
      </c>
      <c r="Q24">
        <v>5.0193465197667333E-5</v>
      </c>
      <c r="R24">
        <v>8.7183238927261231E-5</v>
      </c>
      <c r="S24">
        <v>5.0193465197667333E-5</v>
      </c>
      <c r="T24">
        <v>8.7183238927261231E-5</v>
      </c>
    </row>
    <row r="25" spans="1:20" ht="15" thickBot="1" x14ac:dyDescent="0.4">
      <c r="A25" s="3">
        <v>71.42</v>
      </c>
      <c r="B25" s="3">
        <f t="shared" si="1"/>
        <v>5100.8164000000006</v>
      </c>
      <c r="C25" s="3">
        <f t="shared" si="2"/>
        <v>364300.30728800007</v>
      </c>
      <c r="D25" s="3">
        <f t="shared" si="3"/>
        <v>26018327.946508966</v>
      </c>
      <c r="E25" s="3">
        <f t="shared" si="4"/>
        <v>1858228981.9396703</v>
      </c>
      <c r="F25" s="3">
        <f t="shared" si="5"/>
        <v>132714713890.13127</v>
      </c>
      <c r="G25" s="1">
        <v>2.0289999999999999</v>
      </c>
      <c r="H25" s="8"/>
      <c r="I25">
        <f t="shared" si="0"/>
        <v>2.3851028817516635</v>
      </c>
      <c r="J25">
        <f t="shared" si="6"/>
        <v>0.3561028817516636</v>
      </c>
      <c r="L25" s="5" t="s">
        <v>15</v>
      </c>
      <c r="M25" s="5">
        <v>-2.6016108892200203E-7</v>
      </c>
      <c r="N25" s="5">
        <v>3.4898951394422878E-8</v>
      </c>
      <c r="O25" s="5">
        <v>-7.4546964457957259</v>
      </c>
      <c r="P25" s="5">
        <v>1.9822324280967012E-10</v>
      </c>
      <c r="Q25" s="5">
        <v>-3.2978259199835624E-7</v>
      </c>
      <c r="R25" s="5">
        <v>-1.9053958584564782E-7</v>
      </c>
      <c r="S25" s="5">
        <v>-3.2978259199835624E-7</v>
      </c>
      <c r="T25" s="5">
        <v>-1.9053958584564782E-7</v>
      </c>
    </row>
    <row r="26" spans="1:20" ht="15" thickBot="1" x14ac:dyDescent="0.4">
      <c r="A26" s="3">
        <v>71.790000000000006</v>
      </c>
      <c r="B26" s="3">
        <f t="shared" si="1"/>
        <v>5153.8041000000012</v>
      </c>
      <c r="C26" s="3">
        <f t="shared" si="2"/>
        <v>369991.5963390001</v>
      </c>
      <c r="D26" s="3">
        <f t="shared" si="3"/>
        <v>26561696.701176822</v>
      </c>
      <c r="E26" s="3">
        <f t="shared" si="4"/>
        <v>1906864206.1774843</v>
      </c>
      <c r="F26" s="3">
        <f t="shared" si="5"/>
        <v>136893781361.48161</v>
      </c>
      <c r="G26" s="1">
        <v>1.978</v>
      </c>
      <c r="H26" s="8"/>
      <c r="I26">
        <f t="shared" si="0"/>
        <v>2.2346546452317853</v>
      </c>
      <c r="J26">
        <f t="shared" si="6"/>
        <v>0.25665464523178527</v>
      </c>
    </row>
    <row r="27" spans="1:20" ht="15" thickBot="1" x14ac:dyDescent="0.4">
      <c r="A27" s="3">
        <v>72.150000000000006</v>
      </c>
      <c r="B27" s="3">
        <f t="shared" si="1"/>
        <v>5205.6225000000004</v>
      </c>
      <c r="C27" s="3">
        <f t="shared" si="2"/>
        <v>375585.66337500006</v>
      </c>
      <c r="D27" s="3">
        <f t="shared" si="3"/>
        <v>27098505.612506256</v>
      </c>
      <c r="E27" s="3">
        <f t="shared" si="4"/>
        <v>1955157179.9423265</v>
      </c>
      <c r="F27" s="3">
        <f t="shared" si="5"/>
        <v>141064590532.83887</v>
      </c>
      <c r="G27" s="1">
        <v>1.9259999999999999</v>
      </c>
      <c r="H27" s="8"/>
      <c r="I27">
        <f t="shared" si="0"/>
        <v>2.1024074514716631</v>
      </c>
      <c r="J27">
        <f t="shared" si="6"/>
        <v>0.17640745147166315</v>
      </c>
    </row>
    <row r="28" spans="1:20" ht="15" thickBot="1" x14ac:dyDescent="0.4">
      <c r="A28" s="3">
        <v>72.52</v>
      </c>
      <c r="B28" s="3">
        <f t="shared" si="1"/>
        <v>5259.1503999999995</v>
      </c>
      <c r="C28" s="3">
        <f t="shared" si="2"/>
        <v>381393.58700799994</v>
      </c>
      <c r="D28" s="3">
        <f t="shared" si="3"/>
        <v>27658662.929820154</v>
      </c>
      <c r="E28" s="3">
        <f t="shared" si="4"/>
        <v>2005806235.6705575</v>
      </c>
      <c r="F28" s="3">
        <f t="shared" si="5"/>
        <v>145461068210.82883</v>
      </c>
      <c r="G28" s="1">
        <v>1.875</v>
      </c>
      <c r="H28" s="8"/>
      <c r="I28">
        <f t="shared" si="0"/>
        <v>1.9846574242619681</v>
      </c>
      <c r="J28">
        <f t="shared" si="6"/>
        <v>0.10965742426196812</v>
      </c>
    </row>
    <row r="29" spans="1:20" ht="15" thickBot="1" x14ac:dyDescent="0.4">
      <c r="A29" s="3">
        <v>72.88</v>
      </c>
      <c r="B29" s="3">
        <f t="shared" si="1"/>
        <v>5311.4943999999996</v>
      </c>
      <c r="C29" s="3">
        <f t="shared" si="2"/>
        <v>387101.71187199996</v>
      </c>
      <c r="D29" s="3">
        <f t="shared" si="3"/>
        <v>28211972.761231355</v>
      </c>
      <c r="E29" s="3">
        <f t="shared" si="4"/>
        <v>2056088574.838541</v>
      </c>
      <c r="F29" s="3">
        <f t="shared" si="5"/>
        <v>149847735334.23288</v>
      </c>
      <c r="G29" s="1">
        <v>1.823</v>
      </c>
      <c r="H29" s="8"/>
      <c r="I29">
        <f t="shared" si="0"/>
        <v>1.8905190255536581</v>
      </c>
      <c r="J29">
        <f t="shared" si="6"/>
        <v>6.7519025553658185E-2</v>
      </c>
    </row>
    <row r="30" spans="1:20" ht="15" thickBot="1" x14ac:dyDescent="0.4">
      <c r="A30" s="3">
        <v>73.25</v>
      </c>
      <c r="B30" s="3">
        <f t="shared" si="1"/>
        <v>5365.5625</v>
      </c>
      <c r="C30" s="3">
        <f t="shared" si="2"/>
        <v>393027.453125</v>
      </c>
      <c r="D30" s="3">
        <f t="shared" si="3"/>
        <v>28789260.94140625</v>
      </c>
      <c r="E30" s="3">
        <f t="shared" si="4"/>
        <v>2108813363.9580078</v>
      </c>
      <c r="F30" s="3">
        <f t="shared" si="5"/>
        <v>154470578909.92407</v>
      </c>
      <c r="G30" s="1">
        <v>1.772</v>
      </c>
      <c r="H30" s="8"/>
      <c r="I30">
        <f t="shared" si="0"/>
        <v>1.8167878473395831</v>
      </c>
      <c r="J30">
        <f t="shared" si="6"/>
        <v>4.4787847339583076E-2</v>
      </c>
    </row>
    <row r="31" spans="1:20" ht="15" thickBot="1" x14ac:dyDescent="0.4">
      <c r="A31" s="3">
        <v>73.47</v>
      </c>
      <c r="B31" s="3">
        <f t="shared" si="1"/>
        <v>5397.8409000000001</v>
      </c>
      <c r="C31" s="3">
        <f t="shared" si="2"/>
        <v>396579.37092299998</v>
      </c>
      <c r="D31" s="3">
        <f t="shared" si="3"/>
        <v>29136686.381712813</v>
      </c>
      <c r="E31" s="3">
        <f t="shared" si="4"/>
        <v>2140672348.4644403</v>
      </c>
      <c r="F31" s="3">
        <f t="shared" si="5"/>
        <v>157275197441.68243</v>
      </c>
      <c r="G31" s="1">
        <v>1.778</v>
      </c>
      <c r="H31" s="8"/>
      <c r="I31">
        <f t="shared" si="0"/>
        <v>1.7845296040759422</v>
      </c>
      <c r="J31">
        <f t="shared" si="6"/>
        <v>6.5296040759421636E-3</v>
      </c>
    </row>
    <row r="32" spans="1:20" ht="15" thickBot="1" x14ac:dyDescent="0.4">
      <c r="A32" s="3">
        <v>73.7</v>
      </c>
      <c r="B32" s="3">
        <f t="shared" si="1"/>
        <v>5431.6900000000005</v>
      </c>
      <c r="C32" s="3">
        <f t="shared" si="2"/>
        <v>400315.55300000007</v>
      </c>
      <c r="D32" s="3">
        <f t="shared" si="3"/>
        <v>29503256.256100006</v>
      </c>
      <c r="E32" s="3">
        <f t="shared" si="4"/>
        <v>2174389986.0745707</v>
      </c>
      <c r="F32" s="3">
        <f t="shared" si="5"/>
        <v>160252541973.69586</v>
      </c>
      <c r="G32" s="1">
        <v>1.7849999999999999</v>
      </c>
      <c r="H32" s="8"/>
      <c r="I32">
        <f t="shared" si="0"/>
        <v>1.7601916673811502</v>
      </c>
      <c r="J32">
        <f t="shared" si="6"/>
        <v>-2.4808332618849738E-2</v>
      </c>
    </row>
    <row r="33" spans="1:10" ht="15" thickBot="1" x14ac:dyDescent="0.4">
      <c r="A33" s="3">
        <v>73.92</v>
      </c>
      <c r="B33" s="3">
        <f t="shared" si="1"/>
        <v>5464.1664000000001</v>
      </c>
      <c r="C33" s="3">
        <f t="shared" si="2"/>
        <v>403911.18028800003</v>
      </c>
      <c r="D33" s="3">
        <f t="shared" si="3"/>
        <v>29857114.446888961</v>
      </c>
      <c r="E33" s="3">
        <f t="shared" si="4"/>
        <v>2207037899.914032</v>
      </c>
      <c r="F33" s="3">
        <f t="shared" si="5"/>
        <v>163144241561.64523</v>
      </c>
      <c r="G33" s="1">
        <v>1.7909999999999999</v>
      </c>
      <c r="H33" s="8"/>
      <c r="I33">
        <f t="shared" si="0"/>
        <v>1.7458628409149242</v>
      </c>
      <c r="J33">
        <f t="shared" si="6"/>
        <v>-4.5137159085075762E-2</v>
      </c>
    </row>
    <row r="34" spans="1:10" ht="15" thickBot="1" x14ac:dyDescent="0.4">
      <c r="A34" s="3">
        <v>74.150000000000006</v>
      </c>
      <c r="B34" s="3">
        <f t="shared" si="1"/>
        <v>5498.2225000000008</v>
      </c>
      <c r="C34" s="3">
        <f t="shared" si="2"/>
        <v>407693.19837500009</v>
      </c>
      <c r="D34" s="3">
        <f t="shared" si="3"/>
        <v>30230450.659506258</v>
      </c>
      <c r="E34" s="3">
        <f t="shared" si="4"/>
        <v>2241587916.402389</v>
      </c>
      <c r="F34" s="3">
        <f t="shared" si="5"/>
        <v>166213744001.23718</v>
      </c>
      <c r="G34" s="1">
        <v>1.798</v>
      </c>
      <c r="H34" s="8"/>
      <c r="I34">
        <f t="shared" ref="I34:I65" si="7">$M$19+$M$20*A34+$M$21*B34+$M$22*C34+$M$23*D34+$M$24*E34+$M$25*F34</f>
        <v>1.7400736395429703</v>
      </c>
      <c r="J34">
        <f t="shared" si="6"/>
        <v>-5.7926360457029702E-2</v>
      </c>
    </row>
    <row r="35" spans="1:10" ht="15" thickBot="1" x14ac:dyDescent="0.4">
      <c r="A35" s="3">
        <v>74.37</v>
      </c>
      <c r="B35" s="3">
        <f t="shared" si="1"/>
        <v>5530.8969000000006</v>
      </c>
      <c r="C35" s="3">
        <f t="shared" si="2"/>
        <v>411332.8024530001</v>
      </c>
      <c r="D35" s="3">
        <f t="shared" si="3"/>
        <v>30590820.518429618</v>
      </c>
      <c r="E35" s="3">
        <f t="shared" si="4"/>
        <v>2275039321.9556108</v>
      </c>
      <c r="F35" s="3">
        <f t="shared" si="5"/>
        <v>169194674373.83878</v>
      </c>
      <c r="G35" s="1">
        <v>1.804</v>
      </c>
      <c r="H35" s="8"/>
      <c r="I35">
        <f t="shared" si="7"/>
        <v>1.7430373752649757</v>
      </c>
      <c r="J35">
        <f t="shared" si="6"/>
        <v>-6.096262473502434E-2</v>
      </c>
    </row>
    <row r="36" spans="1:10" ht="15" thickBot="1" x14ac:dyDescent="0.4">
      <c r="A36" s="3">
        <v>74.47</v>
      </c>
      <c r="B36" s="3">
        <f t="shared" si="1"/>
        <v>5545.7808999999997</v>
      </c>
      <c r="C36" s="3">
        <f t="shared" si="2"/>
        <v>412994.30362299999</v>
      </c>
      <c r="D36" s="3">
        <f t="shared" si="3"/>
        <v>30755685.790804807</v>
      </c>
      <c r="E36" s="3">
        <f t="shared" si="4"/>
        <v>2290375920.8412337</v>
      </c>
      <c r="F36" s="3">
        <f t="shared" si="5"/>
        <v>170564294825.04669</v>
      </c>
      <c r="G36" s="1">
        <v>1.8260000000000001</v>
      </c>
      <c r="H36" s="8"/>
      <c r="I36">
        <f t="shared" si="7"/>
        <v>1.7470246366647189</v>
      </c>
      <c r="J36">
        <f t="shared" si="6"/>
        <v>-7.8975363335281212E-2</v>
      </c>
    </row>
    <row r="37" spans="1:10" ht="15" thickBot="1" x14ac:dyDescent="0.4">
      <c r="A37" s="3">
        <v>74.58</v>
      </c>
      <c r="B37" s="3">
        <f t="shared" si="1"/>
        <v>5562.1763999999994</v>
      </c>
      <c r="C37" s="3">
        <f t="shared" si="2"/>
        <v>414827.11591199995</v>
      </c>
      <c r="D37" s="3">
        <f t="shared" si="3"/>
        <v>30937806.304716952</v>
      </c>
      <c r="E37" s="3">
        <f t="shared" si="4"/>
        <v>2307341594.20579</v>
      </c>
      <c r="F37" s="3">
        <f t="shared" si="5"/>
        <v>172081536095.86783</v>
      </c>
      <c r="G37" s="1">
        <v>1.8480000000000001</v>
      </c>
      <c r="H37" s="8"/>
      <c r="I37">
        <f t="shared" si="7"/>
        <v>1.7532404667072115</v>
      </c>
      <c r="J37">
        <f t="shared" si="6"/>
        <v>-9.4759533292788634E-2</v>
      </c>
    </row>
    <row r="38" spans="1:10" ht="15" thickBot="1" x14ac:dyDescent="0.4">
      <c r="A38" s="3">
        <v>74.680000000000007</v>
      </c>
      <c r="B38" s="3">
        <f t="shared" si="1"/>
        <v>5577.1024000000007</v>
      </c>
      <c r="C38" s="3">
        <f t="shared" si="2"/>
        <v>416498.00723200006</v>
      </c>
      <c r="D38" s="3">
        <f t="shared" si="3"/>
        <v>31104071.180085767</v>
      </c>
      <c r="E38" s="3">
        <f t="shared" si="4"/>
        <v>2322852035.7288051</v>
      </c>
      <c r="F38" s="3">
        <f t="shared" si="5"/>
        <v>173470590028.22717</v>
      </c>
      <c r="G38" s="1">
        <v>1.871</v>
      </c>
      <c r="H38" s="8"/>
      <c r="I38">
        <f t="shared" si="7"/>
        <v>1.7604968074592762</v>
      </c>
      <c r="J38">
        <f t="shared" si="6"/>
        <v>-0.11050319254072383</v>
      </c>
    </row>
    <row r="39" spans="1:10" ht="15" thickBot="1" x14ac:dyDescent="0.4">
      <c r="A39" s="3">
        <v>74.790000000000006</v>
      </c>
      <c r="B39" s="3">
        <f t="shared" si="1"/>
        <v>5593.544100000001</v>
      </c>
      <c r="C39" s="3">
        <f t="shared" si="2"/>
        <v>418341.16323900013</v>
      </c>
      <c r="D39" s="3">
        <f t="shared" si="3"/>
        <v>31287735.598644819</v>
      </c>
      <c r="E39" s="3">
        <f t="shared" si="4"/>
        <v>2340009745.422646</v>
      </c>
      <c r="F39" s="3">
        <f t="shared" si="5"/>
        <v>175009328860.15973</v>
      </c>
      <c r="G39" s="1">
        <v>1.893</v>
      </c>
      <c r="H39" s="8"/>
      <c r="I39">
        <f t="shared" si="7"/>
        <v>1.7701717856834875</v>
      </c>
      <c r="J39">
        <f t="shared" si="6"/>
        <v>-0.12282821431651247</v>
      </c>
    </row>
    <row r="40" spans="1:10" ht="15" thickBot="1" x14ac:dyDescent="0.4">
      <c r="A40" s="3">
        <v>74.89</v>
      </c>
      <c r="B40" s="3">
        <f t="shared" si="1"/>
        <v>5608.5120999999999</v>
      </c>
      <c r="C40" s="3">
        <f t="shared" si="2"/>
        <v>420021.47116900003</v>
      </c>
      <c r="D40" s="3">
        <f t="shared" si="3"/>
        <v>31455407.97584641</v>
      </c>
      <c r="E40" s="3">
        <f t="shared" si="4"/>
        <v>2355695503.3111377</v>
      </c>
      <c r="F40" s="3">
        <f t="shared" si="5"/>
        <v>176418036242.9711</v>
      </c>
      <c r="G40" s="1">
        <v>1.915</v>
      </c>
      <c r="H40" s="8"/>
      <c r="I40">
        <f t="shared" si="7"/>
        <v>1.7804353248793632</v>
      </c>
      <c r="J40">
        <f t="shared" si="6"/>
        <v>-0.13456467512063686</v>
      </c>
    </row>
    <row r="41" spans="1:10" ht="15" thickBot="1" x14ac:dyDescent="0.4">
      <c r="A41" s="3">
        <v>75.040000000000006</v>
      </c>
      <c r="B41" s="3">
        <f t="shared" si="1"/>
        <v>5631.0016000000005</v>
      </c>
      <c r="C41" s="3">
        <f t="shared" si="2"/>
        <v>422550.36006400007</v>
      </c>
      <c r="D41" s="3">
        <f t="shared" si="3"/>
        <v>31708179.019202564</v>
      </c>
      <c r="E41" s="3">
        <f t="shared" si="4"/>
        <v>2379381753.6009607</v>
      </c>
      <c r="F41" s="3">
        <f t="shared" si="5"/>
        <v>178548806790.21609</v>
      </c>
      <c r="G41" s="1">
        <v>1.9379999999999999</v>
      </c>
      <c r="H41" s="8"/>
      <c r="I41">
        <f t="shared" si="7"/>
        <v>1.7982899317285046</v>
      </c>
      <c r="J41">
        <f t="shared" si="6"/>
        <v>-0.13971006827149535</v>
      </c>
    </row>
    <row r="42" spans="1:10" ht="15" thickBot="1" x14ac:dyDescent="0.4">
      <c r="A42" s="3">
        <v>75.19</v>
      </c>
      <c r="B42" s="3">
        <f t="shared" si="1"/>
        <v>5653.5360999999994</v>
      </c>
      <c r="C42" s="3">
        <f t="shared" si="2"/>
        <v>425089.37935899996</v>
      </c>
      <c r="D42" s="3">
        <f t="shared" si="3"/>
        <v>31962470.434003204</v>
      </c>
      <c r="E42" s="3">
        <f t="shared" si="4"/>
        <v>2403258151.9327006</v>
      </c>
      <c r="F42" s="3">
        <f t="shared" si="5"/>
        <v>180700980443.81976</v>
      </c>
      <c r="G42" s="1">
        <v>1.9610000000000001</v>
      </c>
      <c r="H42" s="8"/>
      <c r="I42">
        <f t="shared" si="7"/>
        <v>1.8188566764874849</v>
      </c>
      <c r="J42">
        <f t="shared" si="6"/>
        <v>-0.14214332351251513</v>
      </c>
    </row>
    <row r="43" spans="1:10" ht="15" thickBot="1" x14ac:dyDescent="0.4">
      <c r="A43" s="3">
        <v>75.349999999999994</v>
      </c>
      <c r="B43" s="3">
        <f t="shared" si="1"/>
        <v>5677.6224999999995</v>
      </c>
      <c r="C43" s="3">
        <f t="shared" si="2"/>
        <v>427808.85537499993</v>
      </c>
      <c r="D43" s="3">
        <f t="shared" si="3"/>
        <v>32235397.252506245</v>
      </c>
      <c r="E43" s="3">
        <f t="shared" si="4"/>
        <v>2428937182.9763455</v>
      </c>
      <c r="F43" s="3">
        <f t="shared" si="5"/>
        <v>183020416737.26761</v>
      </c>
      <c r="G43" s="1">
        <v>1.984</v>
      </c>
      <c r="H43" s="8"/>
      <c r="I43">
        <f t="shared" si="7"/>
        <v>1.8434490803410881</v>
      </c>
      <c r="J43">
        <f t="shared" si="6"/>
        <v>-0.14055091965891187</v>
      </c>
    </row>
    <row r="44" spans="1:10" ht="15" thickBot="1" x14ac:dyDescent="0.4">
      <c r="A44" s="3">
        <v>75.5</v>
      </c>
      <c r="B44" s="3">
        <f t="shared" si="1"/>
        <v>5700.25</v>
      </c>
      <c r="C44" s="3">
        <f t="shared" si="2"/>
        <v>430368.875</v>
      </c>
      <c r="D44" s="3">
        <f t="shared" si="3"/>
        <v>32492850.0625</v>
      </c>
      <c r="E44" s="3">
        <f t="shared" si="4"/>
        <v>2453210179.71875</v>
      </c>
      <c r="F44" s="3">
        <f t="shared" si="5"/>
        <v>185217368568.76563</v>
      </c>
      <c r="G44" s="1">
        <v>2.0070000000000001</v>
      </c>
      <c r="H44" s="8"/>
      <c r="I44">
        <f t="shared" si="7"/>
        <v>1.8686461932302336</v>
      </c>
      <c r="J44">
        <f t="shared" si="6"/>
        <v>-0.1383538067697665</v>
      </c>
    </row>
    <row r="45" spans="1:10" ht="15" thickBot="1" x14ac:dyDescent="0.4">
      <c r="A45" s="3">
        <v>75.650000000000006</v>
      </c>
      <c r="B45" s="3">
        <f t="shared" si="1"/>
        <v>5722.9225000000006</v>
      </c>
      <c r="C45" s="3">
        <f t="shared" si="2"/>
        <v>432939.08712500008</v>
      </c>
      <c r="D45" s="3">
        <f t="shared" si="3"/>
        <v>32751841.941006258</v>
      </c>
      <c r="E45" s="3">
        <f t="shared" si="4"/>
        <v>2477676842.8371234</v>
      </c>
      <c r="F45" s="3">
        <f t="shared" si="5"/>
        <v>187436253160.62842</v>
      </c>
      <c r="G45" s="1">
        <v>2.0299999999999998</v>
      </c>
      <c r="H45" s="8"/>
      <c r="I45">
        <f t="shared" si="7"/>
        <v>1.8955478477582801</v>
      </c>
      <c r="J45">
        <f t="shared" si="6"/>
        <v>-0.13445215224171969</v>
      </c>
    </row>
    <row r="46" spans="1:10" ht="15" thickBot="1" x14ac:dyDescent="0.4">
      <c r="A46" s="3">
        <v>75.81</v>
      </c>
      <c r="B46" s="3">
        <f t="shared" si="1"/>
        <v>5747.1561000000002</v>
      </c>
      <c r="C46" s="3">
        <f t="shared" si="2"/>
        <v>435691.903941</v>
      </c>
      <c r="D46" s="3">
        <f t="shared" si="3"/>
        <v>33029803.237767212</v>
      </c>
      <c r="E46" s="3">
        <f t="shared" si="4"/>
        <v>2503989383.4551325</v>
      </c>
      <c r="F46" s="3">
        <f t="shared" si="5"/>
        <v>189827435159.73358</v>
      </c>
      <c r="G46" s="1">
        <v>2.0230000000000001</v>
      </c>
      <c r="H46" s="8"/>
      <c r="I46">
        <f t="shared" si="7"/>
        <v>1.9256791708539822</v>
      </c>
      <c r="J46">
        <f t="shared" si="6"/>
        <v>-9.7320829146017918E-2</v>
      </c>
    </row>
    <row r="47" spans="1:10" ht="15" thickBot="1" x14ac:dyDescent="0.4">
      <c r="A47" s="3">
        <v>75.98</v>
      </c>
      <c r="B47" s="3">
        <f t="shared" si="1"/>
        <v>5772.9604000000008</v>
      </c>
      <c r="C47" s="3">
        <f t="shared" si="2"/>
        <v>438629.53119200008</v>
      </c>
      <c r="D47" s="3">
        <f t="shared" si="3"/>
        <v>33327071.779968169</v>
      </c>
      <c r="E47" s="3">
        <f t="shared" si="4"/>
        <v>2532190913.8419814</v>
      </c>
      <c r="F47" s="3">
        <f t="shared" si="5"/>
        <v>192395865633.71378</v>
      </c>
      <c r="G47" s="1">
        <v>2.016</v>
      </c>
      <c r="H47" s="8"/>
      <c r="I47">
        <f t="shared" si="7"/>
        <v>1.9587509979028255</v>
      </c>
      <c r="J47">
        <f t="shared" si="6"/>
        <v>-5.7249002097174539E-2</v>
      </c>
    </row>
    <row r="48" spans="1:10" ht="15" thickBot="1" x14ac:dyDescent="0.4">
      <c r="A48" s="3">
        <v>76.14</v>
      </c>
      <c r="B48" s="3">
        <f t="shared" si="1"/>
        <v>5797.2996000000003</v>
      </c>
      <c r="C48" s="3">
        <f t="shared" si="2"/>
        <v>441406.39154400001</v>
      </c>
      <c r="D48" s="3">
        <f t="shared" si="3"/>
        <v>33608682.65216016</v>
      </c>
      <c r="E48" s="3">
        <f t="shared" si="4"/>
        <v>2558965097.1354747</v>
      </c>
      <c r="F48" s="3">
        <f t="shared" si="5"/>
        <v>194839602495.89505</v>
      </c>
      <c r="G48" s="1">
        <v>2.0099999999999998</v>
      </c>
      <c r="H48" s="8"/>
      <c r="I48">
        <f t="shared" si="7"/>
        <v>1.9902832247462356</v>
      </c>
      <c r="J48">
        <f t="shared" si="6"/>
        <v>-1.9716775253764141E-2</v>
      </c>
    </row>
    <row r="49" spans="1:10" ht="15" thickBot="1" x14ac:dyDescent="0.4">
      <c r="A49" s="3">
        <v>76.31</v>
      </c>
      <c r="B49" s="3">
        <f t="shared" si="1"/>
        <v>5823.2161000000006</v>
      </c>
      <c r="C49" s="3">
        <f t="shared" si="2"/>
        <v>444369.62059100007</v>
      </c>
      <c r="D49" s="3">
        <f t="shared" si="3"/>
        <v>33909845.747299217</v>
      </c>
      <c r="E49" s="3">
        <f t="shared" si="4"/>
        <v>2587660328.9764032</v>
      </c>
      <c r="F49" s="3">
        <f t="shared" si="5"/>
        <v>197464359704.18936</v>
      </c>
      <c r="G49" s="1">
        <v>2.0030000000000001</v>
      </c>
      <c r="H49" s="8"/>
      <c r="I49">
        <f t="shared" si="7"/>
        <v>2.0235280823690118</v>
      </c>
      <c r="J49">
        <f t="shared" si="6"/>
        <v>2.0528082369011713E-2</v>
      </c>
    </row>
    <row r="50" spans="1:10" ht="15" thickBot="1" x14ac:dyDescent="0.4">
      <c r="A50" s="3">
        <v>76.47</v>
      </c>
      <c r="B50" s="3">
        <f t="shared" si="1"/>
        <v>5847.6608999999999</v>
      </c>
      <c r="C50" s="3">
        <f t="shared" si="2"/>
        <v>447170.62902299996</v>
      </c>
      <c r="D50" s="3">
        <f t="shared" si="3"/>
        <v>34195138.001388811</v>
      </c>
      <c r="E50" s="3">
        <f t="shared" si="4"/>
        <v>2614902202.9662023</v>
      </c>
      <c r="F50" s="3">
        <f t="shared" si="5"/>
        <v>199961571460.8255</v>
      </c>
      <c r="G50" s="1">
        <v>1.996</v>
      </c>
      <c r="H50" s="8"/>
      <c r="I50">
        <f t="shared" si="7"/>
        <v>2.0538914603821468</v>
      </c>
      <c r="J50">
        <f t="shared" si="6"/>
        <v>5.7891460382146764E-2</v>
      </c>
    </row>
    <row r="51" spans="1:10" ht="15" thickBot="1" x14ac:dyDescent="0.4">
      <c r="A51" s="4">
        <v>76.61</v>
      </c>
      <c r="B51" s="3">
        <f t="shared" si="1"/>
        <v>5869.0920999999998</v>
      </c>
      <c r="C51" s="3">
        <f t="shared" si="2"/>
        <v>449631.14578099997</v>
      </c>
      <c r="D51" s="3">
        <f t="shared" si="3"/>
        <v>34446242.078282408</v>
      </c>
      <c r="E51" s="3">
        <f t="shared" si="4"/>
        <v>2638926605.6172152</v>
      </c>
      <c r="F51" s="3">
        <f t="shared" si="5"/>
        <v>202168167256.33487</v>
      </c>
      <c r="G51" s="1">
        <v>2.0049999999999999</v>
      </c>
      <c r="H51" s="8"/>
      <c r="I51">
        <f t="shared" si="7"/>
        <v>2.0791669643294881</v>
      </c>
      <c r="J51">
        <f t="shared" si="6"/>
        <v>7.4166964329488216E-2</v>
      </c>
    </row>
    <row r="52" spans="1:10" ht="15" thickBot="1" x14ac:dyDescent="0.4">
      <c r="A52" s="4">
        <v>76.75</v>
      </c>
      <c r="B52" s="3">
        <f t="shared" si="1"/>
        <v>5890.5625</v>
      </c>
      <c r="C52" s="3">
        <f t="shared" si="2"/>
        <v>452100.671875</v>
      </c>
      <c r="D52" s="3">
        <f t="shared" si="3"/>
        <v>34698726.56640625</v>
      </c>
      <c r="E52" s="3">
        <f t="shared" si="4"/>
        <v>2663127263.9716797</v>
      </c>
      <c r="F52" s="3">
        <f t="shared" si="5"/>
        <v>204395017509.82642</v>
      </c>
      <c r="G52" s="1">
        <v>2.0139999999999998</v>
      </c>
      <c r="H52" s="8"/>
      <c r="I52">
        <f t="shared" si="7"/>
        <v>2.1027205216159928</v>
      </c>
      <c r="J52">
        <f t="shared" si="6"/>
        <v>8.8720521615992975E-2</v>
      </c>
    </row>
    <row r="53" spans="1:10" ht="15" thickBot="1" x14ac:dyDescent="0.4">
      <c r="A53" s="4">
        <v>76.900000000000006</v>
      </c>
      <c r="B53" s="3">
        <f t="shared" si="1"/>
        <v>5913.6100000000006</v>
      </c>
      <c r="C53" s="3">
        <f t="shared" si="2"/>
        <v>454756.60900000005</v>
      </c>
      <c r="D53" s="3">
        <f t="shared" si="3"/>
        <v>34970783.23210001</v>
      </c>
      <c r="E53" s="3">
        <f t="shared" si="4"/>
        <v>2689253230.548491</v>
      </c>
      <c r="F53" s="3">
        <f t="shared" si="5"/>
        <v>206803573429.17896</v>
      </c>
      <c r="G53" s="1">
        <v>2.024</v>
      </c>
      <c r="H53" s="8"/>
      <c r="I53">
        <f t="shared" si="7"/>
        <v>2.1254546357085928</v>
      </c>
      <c r="J53">
        <f t="shared" si="6"/>
        <v>0.10145463570859281</v>
      </c>
    </row>
    <row r="54" spans="1:10" ht="15" thickBot="1" x14ac:dyDescent="0.4">
      <c r="A54" s="4">
        <v>77.040000000000006</v>
      </c>
      <c r="B54" s="3">
        <f t="shared" si="1"/>
        <v>5935.1616000000013</v>
      </c>
      <c r="C54" s="3">
        <f t="shared" si="2"/>
        <v>457244.84966400015</v>
      </c>
      <c r="D54" s="3">
        <f t="shared" si="3"/>
        <v>35226143.218114577</v>
      </c>
      <c r="E54" s="3">
        <f t="shared" si="4"/>
        <v>2713822073.5235472</v>
      </c>
      <c r="F54" s="3">
        <f t="shared" si="5"/>
        <v>209072852544.25412</v>
      </c>
      <c r="G54" s="1">
        <v>2.0329999999999999</v>
      </c>
      <c r="H54" s="8"/>
      <c r="I54">
        <f t="shared" si="7"/>
        <v>2.1437574512892752</v>
      </c>
      <c r="J54">
        <f t="shared" si="6"/>
        <v>0.11075745128927528</v>
      </c>
    </row>
    <row r="55" spans="1:10" ht="15" thickBot="1" x14ac:dyDescent="0.4">
      <c r="A55" s="4">
        <v>77.180000000000007</v>
      </c>
      <c r="B55" s="3">
        <f t="shared" si="1"/>
        <v>5956.7524000000012</v>
      </c>
      <c r="C55" s="3">
        <f t="shared" si="2"/>
        <v>459742.15023200016</v>
      </c>
      <c r="D55" s="3">
        <f t="shared" si="3"/>
        <v>35482899.154905774</v>
      </c>
      <c r="E55" s="3">
        <f t="shared" si="4"/>
        <v>2738570156.7756281</v>
      </c>
      <c r="F55" s="3">
        <f t="shared" si="5"/>
        <v>211362844699.94299</v>
      </c>
      <c r="G55" s="1">
        <v>2.0419999999999998</v>
      </c>
      <c r="H55" s="8"/>
      <c r="I55">
        <f t="shared" si="7"/>
        <v>2.1586561164876912</v>
      </c>
      <c r="J55">
        <f t="shared" si="6"/>
        <v>0.11665611648769136</v>
      </c>
    </row>
    <row r="56" spans="1:10" ht="15" thickBot="1" x14ac:dyDescent="0.4">
      <c r="A56" s="4">
        <v>77.38</v>
      </c>
      <c r="B56" s="3">
        <f t="shared" si="1"/>
        <v>5987.6643999999997</v>
      </c>
      <c r="C56" s="3">
        <f t="shared" si="2"/>
        <v>463325.47127199994</v>
      </c>
      <c r="D56" s="3">
        <f t="shared" si="3"/>
        <v>35852124.967027359</v>
      </c>
      <c r="E56" s="3">
        <f t="shared" si="4"/>
        <v>2774237429.9485769</v>
      </c>
      <c r="F56" s="3">
        <f t="shared" si="5"/>
        <v>214670492329.42087</v>
      </c>
      <c r="G56" s="1">
        <v>2.0449999999999999</v>
      </c>
      <c r="H56" s="8"/>
      <c r="I56">
        <f t="shared" si="7"/>
        <v>2.1728326625525369</v>
      </c>
      <c r="J56">
        <f t="shared" si="6"/>
        <v>0.127832662552537</v>
      </c>
    </row>
    <row r="57" spans="1:10" ht="15" thickBot="1" x14ac:dyDescent="0.4">
      <c r="A57" s="4">
        <v>77.58</v>
      </c>
      <c r="B57" s="3">
        <f t="shared" si="1"/>
        <v>6018.6563999999998</v>
      </c>
      <c r="C57" s="3">
        <f t="shared" si="2"/>
        <v>466927.36351199995</v>
      </c>
      <c r="D57" s="3">
        <f t="shared" si="3"/>
        <v>36224224.861260958</v>
      </c>
      <c r="E57" s="3">
        <f t="shared" si="4"/>
        <v>2810275364.7366252</v>
      </c>
      <c r="F57" s="3">
        <f t="shared" si="5"/>
        <v>218021162796.26736</v>
      </c>
      <c r="G57" s="1">
        <v>2.0470000000000002</v>
      </c>
      <c r="H57" s="8"/>
      <c r="I57">
        <f t="shared" si="7"/>
        <v>2.176967502804473</v>
      </c>
      <c r="J57">
        <f t="shared" si="6"/>
        <v>0.12996750280447289</v>
      </c>
    </row>
    <row r="58" spans="1:10" ht="15" thickBot="1" x14ac:dyDescent="0.4">
      <c r="A58" s="4">
        <v>77.790000000000006</v>
      </c>
      <c r="B58" s="3">
        <f t="shared" si="1"/>
        <v>6051.2841000000008</v>
      </c>
      <c r="C58" s="3">
        <f t="shared" si="2"/>
        <v>470729.39013900008</v>
      </c>
      <c r="D58" s="3">
        <f t="shared" si="3"/>
        <v>36618039.258912817</v>
      </c>
      <c r="E58" s="3">
        <f t="shared" si="4"/>
        <v>2848517273.9508281</v>
      </c>
      <c r="F58" s="3">
        <f t="shared" si="5"/>
        <v>221586158740.63495</v>
      </c>
      <c r="G58" s="1">
        <v>2.0499999999999998</v>
      </c>
      <c r="H58" s="8"/>
      <c r="I58">
        <f t="shared" si="7"/>
        <v>2.1683375079810503</v>
      </c>
      <c r="J58">
        <f t="shared" si="6"/>
        <v>0.11833750798105047</v>
      </c>
    </row>
    <row r="59" spans="1:10" ht="15" thickBot="1" x14ac:dyDescent="0.4">
      <c r="A59" s="4">
        <v>77.989999999999995</v>
      </c>
      <c r="B59" s="3">
        <f t="shared" si="1"/>
        <v>6082.4400999999989</v>
      </c>
      <c r="C59" s="3">
        <f t="shared" si="2"/>
        <v>474369.50339899986</v>
      </c>
      <c r="D59" s="3">
        <f t="shared" si="3"/>
        <v>36996077.570087999</v>
      </c>
      <c r="E59" s="3">
        <f t="shared" si="4"/>
        <v>2885324089.6911631</v>
      </c>
      <c r="F59" s="3">
        <f t="shared" si="5"/>
        <v>225026425755.01376</v>
      </c>
      <c r="G59" s="1">
        <v>2.052</v>
      </c>
      <c r="H59" s="8"/>
      <c r="I59">
        <f t="shared" si="7"/>
        <v>2.1455765279824845</v>
      </c>
      <c r="J59">
        <f t="shared" si="6"/>
        <v>9.3576527982484503E-2</v>
      </c>
    </row>
    <row r="60" spans="1:10" ht="15" thickBot="1" x14ac:dyDescent="0.4">
      <c r="A60" s="4">
        <v>78.19</v>
      </c>
      <c r="B60" s="3">
        <f t="shared" si="1"/>
        <v>6113.6760999999997</v>
      </c>
      <c r="C60" s="3">
        <f t="shared" si="2"/>
        <v>478028.33425899997</v>
      </c>
      <c r="D60" s="3">
        <f t="shared" si="3"/>
        <v>37377035.455711208</v>
      </c>
      <c r="E60" s="3">
        <f t="shared" si="4"/>
        <v>2922510402.2820592</v>
      </c>
      <c r="F60" s="3">
        <f t="shared" si="5"/>
        <v>228511088354.4342</v>
      </c>
      <c r="G60" s="1">
        <v>2.0550000000000002</v>
      </c>
      <c r="H60" s="8"/>
      <c r="I60">
        <f t="shared" si="7"/>
        <v>2.1063676817211672</v>
      </c>
      <c r="J60">
        <f t="shared" si="6"/>
        <v>5.1367681721167013E-2</v>
      </c>
    </row>
    <row r="61" spans="1:10" ht="15" thickBot="1" x14ac:dyDescent="0.4">
      <c r="A61" s="4">
        <v>78.34</v>
      </c>
      <c r="B61" s="3">
        <f t="shared" si="1"/>
        <v>6137.155600000001</v>
      </c>
      <c r="C61" s="3">
        <f t="shared" si="2"/>
        <v>480784.76970400009</v>
      </c>
      <c r="D61" s="3">
        <f t="shared" si="3"/>
        <v>37664678.858611375</v>
      </c>
      <c r="E61" s="3">
        <f t="shared" si="4"/>
        <v>2950650941.7836151</v>
      </c>
      <c r="F61" s="3">
        <f t="shared" si="5"/>
        <v>231153994779.32843</v>
      </c>
      <c r="G61" s="1">
        <v>2.0190000000000001</v>
      </c>
      <c r="H61" s="8"/>
      <c r="I61">
        <f t="shared" si="7"/>
        <v>2.0647585063779843</v>
      </c>
      <c r="J61">
        <f t="shared" si="6"/>
        <v>4.5758506377984176E-2</v>
      </c>
    </row>
    <row r="62" spans="1:10" ht="15" thickBot="1" x14ac:dyDescent="0.4">
      <c r="A62" s="4">
        <v>78.489999999999995</v>
      </c>
      <c r="B62" s="3">
        <f t="shared" si="1"/>
        <v>6160.6800999999996</v>
      </c>
      <c r="C62" s="3">
        <f t="shared" si="2"/>
        <v>483551.78104899992</v>
      </c>
      <c r="D62" s="3">
        <f t="shared" si="3"/>
        <v>37953979.294536002</v>
      </c>
      <c r="E62" s="3">
        <f t="shared" si="4"/>
        <v>2979007834.8281307</v>
      </c>
      <c r="F62" s="3">
        <f t="shared" si="5"/>
        <v>233822324955.65997</v>
      </c>
      <c r="G62" s="1">
        <v>1.9830000000000001</v>
      </c>
      <c r="H62" s="8"/>
      <c r="I62">
        <f t="shared" si="7"/>
        <v>2.0115406419936335</v>
      </c>
      <c r="J62">
        <f t="shared" si="6"/>
        <v>2.8540641993633376E-2</v>
      </c>
    </row>
    <row r="63" spans="1:10" ht="15" thickBot="1" x14ac:dyDescent="0.4">
      <c r="A63" s="4">
        <v>78.64</v>
      </c>
      <c r="B63" s="3">
        <f t="shared" si="1"/>
        <v>6184.2496000000001</v>
      </c>
      <c r="C63" s="3">
        <f t="shared" si="2"/>
        <v>486329.38854399999</v>
      </c>
      <c r="D63" s="3">
        <f t="shared" si="3"/>
        <v>38244943.11510016</v>
      </c>
      <c r="E63" s="3">
        <f t="shared" si="4"/>
        <v>3007582326.5714765</v>
      </c>
      <c r="F63" s="3">
        <f t="shared" si="5"/>
        <v>236516274161.58093</v>
      </c>
      <c r="G63" s="1">
        <v>1.9470000000000001</v>
      </c>
      <c r="H63" s="8"/>
      <c r="I63">
        <f t="shared" si="7"/>
        <v>1.9456358227253077</v>
      </c>
      <c r="J63">
        <f t="shared" si="6"/>
        <v>-1.3641772746924019E-3</v>
      </c>
    </row>
    <row r="64" spans="1:10" ht="15" thickBot="1" x14ac:dyDescent="0.4">
      <c r="A64" s="4">
        <v>78.790000000000006</v>
      </c>
      <c r="B64" s="3">
        <f t="shared" si="1"/>
        <v>6207.8641000000007</v>
      </c>
      <c r="C64" s="3">
        <f t="shared" si="2"/>
        <v>489117.61243900011</v>
      </c>
      <c r="D64" s="3">
        <f t="shared" si="3"/>
        <v>38537576.684068821</v>
      </c>
      <c r="E64" s="3">
        <f t="shared" si="4"/>
        <v>3036375666.9377828</v>
      </c>
      <c r="F64" s="3">
        <f t="shared" si="5"/>
        <v>239236038798.02789</v>
      </c>
      <c r="G64" s="1">
        <v>1.911</v>
      </c>
      <c r="H64" s="8"/>
      <c r="I64">
        <f t="shared" si="7"/>
        <v>1.8659247984396643</v>
      </c>
      <c r="J64">
        <f t="shared" si="6"/>
        <v>-4.5075201560335731E-2</v>
      </c>
    </row>
    <row r="65" spans="1:10" ht="15" thickBot="1" x14ac:dyDescent="0.4">
      <c r="A65" s="4">
        <v>78.94</v>
      </c>
      <c r="B65" s="3">
        <f t="shared" si="1"/>
        <v>6231.5235999999995</v>
      </c>
      <c r="C65" s="3">
        <f t="shared" si="2"/>
        <v>491916.47298399993</v>
      </c>
      <c r="D65" s="3">
        <f t="shared" si="3"/>
        <v>38831886.377356954</v>
      </c>
      <c r="E65" s="3">
        <f t="shared" si="4"/>
        <v>3065389110.6285577</v>
      </c>
      <c r="F65" s="3">
        <f t="shared" si="5"/>
        <v>241981816393.01834</v>
      </c>
      <c r="G65" s="1">
        <v>1.875</v>
      </c>
      <c r="H65" s="8"/>
      <c r="I65">
        <f t="shared" si="7"/>
        <v>1.7712468427489512</v>
      </c>
      <c r="J65">
        <f t="shared" si="6"/>
        <v>-0.10375315725104883</v>
      </c>
    </row>
    <row r="66" spans="1:10" ht="15" thickBot="1" x14ac:dyDescent="0.4">
      <c r="A66" s="4">
        <v>78.91</v>
      </c>
      <c r="B66" s="3">
        <f t="shared" si="1"/>
        <v>6226.7880999999998</v>
      </c>
      <c r="C66" s="3">
        <f t="shared" si="2"/>
        <v>491355.84897099994</v>
      </c>
      <c r="D66" s="3">
        <f t="shared" si="3"/>
        <v>38772890.04230161</v>
      </c>
      <c r="E66" s="3">
        <f t="shared" si="4"/>
        <v>3059568753.2380199</v>
      </c>
      <c r="F66" s="3">
        <f t="shared" si="5"/>
        <v>241430570318.01215</v>
      </c>
      <c r="G66" s="1">
        <v>1.855</v>
      </c>
      <c r="H66" s="8"/>
      <c r="I66">
        <f t="shared" ref="I66:I75" si="8">$M$19+$M$20*A66+$M$21*B66+$M$22*C66+$M$23*D66+$M$24*E66+$M$25*F66</f>
        <v>1.7914369094214635</v>
      </c>
      <c r="J66">
        <f t="shared" si="6"/>
        <v>-6.3563090578536485E-2</v>
      </c>
    </row>
    <row r="67" spans="1:10" ht="15" thickBot="1" x14ac:dyDescent="0.4">
      <c r="A67" s="4">
        <v>78.89</v>
      </c>
      <c r="B67" s="3">
        <f t="shared" ref="B67:B75" si="9">A67^2</f>
        <v>6223.6320999999998</v>
      </c>
      <c r="C67" s="3">
        <f t="shared" ref="C67:C75" si="10">A67^3</f>
        <v>490982.33636899997</v>
      </c>
      <c r="D67" s="3">
        <f t="shared" ref="D67:D75" si="11">A67^4</f>
        <v>38733596.516150407</v>
      </c>
      <c r="E67" s="3">
        <f t="shared" ref="E67:E75" si="12">A67^5</f>
        <v>3055693429.1591058</v>
      </c>
      <c r="F67" s="3">
        <f t="shared" ref="F67:F75" si="13">A67^6</f>
        <v>241063654626.36185</v>
      </c>
      <c r="G67" s="1">
        <v>1.835</v>
      </c>
      <c r="H67" s="8"/>
      <c r="I67">
        <f t="shared" si="8"/>
        <v>1.8045425251839333</v>
      </c>
      <c r="J67">
        <f t="shared" ref="J67:J75" si="14">I67-G67</f>
        <v>-3.0457474816066643E-2</v>
      </c>
    </row>
    <row r="68" spans="1:10" ht="15" thickBot="1" x14ac:dyDescent="0.4">
      <c r="A68" s="4">
        <v>78.86</v>
      </c>
      <c r="B68" s="3">
        <f t="shared" si="9"/>
        <v>6218.8995999999997</v>
      </c>
      <c r="C68" s="3">
        <f t="shared" si="10"/>
        <v>490422.422456</v>
      </c>
      <c r="D68" s="3">
        <f t="shared" si="11"/>
        <v>38674712.234880157</v>
      </c>
      <c r="E68" s="3">
        <f t="shared" si="12"/>
        <v>3049887806.842649</v>
      </c>
      <c r="F68" s="3">
        <f t="shared" si="13"/>
        <v>240514152447.6113</v>
      </c>
      <c r="G68" s="1">
        <v>1.8160000000000001</v>
      </c>
      <c r="H68" s="8"/>
      <c r="I68">
        <f t="shared" si="8"/>
        <v>1.8236764908215264</v>
      </c>
      <c r="J68">
        <f t="shared" si="14"/>
        <v>7.6764908215263272E-3</v>
      </c>
    </row>
    <row r="69" spans="1:10" ht="15" thickBot="1" x14ac:dyDescent="0.4">
      <c r="A69" s="4">
        <v>78.84</v>
      </c>
      <c r="B69" s="3">
        <f t="shared" si="9"/>
        <v>6215.7456000000002</v>
      </c>
      <c r="C69" s="3">
        <f t="shared" si="10"/>
        <v>490049.38310400001</v>
      </c>
      <c r="D69" s="3">
        <f t="shared" si="11"/>
        <v>38635493.363919362</v>
      </c>
      <c r="E69" s="3">
        <f t="shared" si="12"/>
        <v>3046022296.8114028</v>
      </c>
      <c r="F69" s="3">
        <f t="shared" si="13"/>
        <v>240148397880.61099</v>
      </c>
      <c r="G69" s="1">
        <v>1.796</v>
      </c>
      <c r="H69" s="8"/>
      <c r="I69">
        <f t="shared" si="8"/>
        <v>1.8360869962998549</v>
      </c>
      <c r="J69">
        <f t="shared" si="14"/>
        <v>4.0086996299854905E-2</v>
      </c>
    </row>
    <row r="70" spans="1:10" ht="15" thickBot="1" x14ac:dyDescent="0.4">
      <c r="A70" s="4">
        <v>78.81</v>
      </c>
      <c r="B70" s="3">
        <f t="shared" si="9"/>
        <v>6211.0161000000007</v>
      </c>
      <c r="C70" s="3">
        <f t="shared" si="10"/>
        <v>489490.17884100007</v>
      </c>
      <c r="D70" s="3">
        <f t="shared" si="11"/>
        <v>38576720.994459219</v>
      </c>
      <c r="E70" s="3">
        <f t="shared" si="12"/>
        <v>3040231381.5733314</v>
      </c>
      <c r="F70" s="3">
        <f t="shared" si="13"/>
        <v>239600635181.79425</v>
      </c>
      <c r="G70" s="1">
        <v>1.776</v>
      </c>
      <c r="H70" s="8"/>
      <c r="I70">
        <f t="shared" si="8"/>
        <v>1.8541916488175048</v>
      </c>
      <c r="J70">
        <f t="shared" si="14"/>
        <v>7.8191648817504733E-2</v>
      </c>
    </row>
    <row r="71" spans="1:10" ht="15" thickBot="1" x14ac:dyDescent="0.4">
      <c r="A71" s="4">
        <v>78.87</v>
      </c>
      <c r="B71" s="3">
        <f t="shared" si="9"/>
        <v>6220.4769000000006</v>
      </c>
      <c r="C71" s="3">
        <f t="shared" si="10"/>
        <v>490609.01310300006</v>
      </c>
      <c r="D71" s="3">
        <f t="shared" si="11"/>
        <v>38694332.863433614</v>
      </c>
      <c r="E71" s="3">
        <f t="shared" si="12"/>
        <v>3051822032.9390092</v>
      </c>
      <c r="F71" s="3">
        <f t="shared" si="13"/>
        <v>240697203737.89969</v>
      </c>
      <c r="G71" s="1">
        <v>1.778</v>
      </c>
      <c r="H71" s="8"/>
      <c r="I71">
        <f t="shared" si="8"/>
        <v>1.8173679529281799</v>
      </c>
      <c r="J71">
        <f t="shared" si="14"/>
        <v>3.936795292817985E-2</v>
      </c>
    </row>
    <row r="72" spans="1:10" x14ac:dyDescent="0.35">
      <c r="A72" s="4">
        <v>78.930000000000007</v>
      </c>
      <c r="B72" s="3">
        <f t="shared" si="9"/>
        <v>6229.9449000000013</v>
      </c>
      <c r="C72" s="3">
        <f t="shared" si="10"/>
        <v>491729.55095700017</v>
      </c>
      <c r="D72" s="3">
        <f t="shared" si="11"/>
        <v>38812213.457036026</v>
      </c>
      <c r="E72" s="3">
        <f t="shared" si="12"/>
        <v>3063448008.1638536</v>
      </c>
      <c r="F72" s="3">
        <f t="shared" si="13"/>
        <v>241797951284.37302</v>
      </c>
      <c r="G72" s="2">
        <v>1.7789999999999999</v>
      </c>
      <c r="H72" s="2"/>
      <c r="I72">
        <f t="shared" si="8"/>
        <v>1.7780482317102724</v>
      </c>
      <c r="J72">
        <f t="shared" si="14"/>
        <v>-9.5176828972753924E-4</v>
      </c>
    </row>
    <row r="73" spans="1:10" x14ac:dyDescent="0.35">
      <c r="A73" s="4">
        <v>78.989999999999995</v>
      </c>
      <c r="B73" s="3">
        <f t="shared" si="9"/>
        <v>6239.4200999999994</v>
      </c>
      <c r="C73" s="3">
        <f t="shared" si="10"/>
        <v>492851.79369899991</v>
      </c>
      <c r="D73" s="3">
        <f t="shared" si="11"/>
        <v>38930363.184284002</v>
      </c>
      <c r="E73" s="3">
        <f t="shared" si="12"/>
        <v>3075109387.9265933</v>
      </c>
      <c r="F73" s="3">
        <f t="shared" si="13"/>
        <v>242902890552.32156</v>
      </c>
      <c r="G73" s="2">
        <v>1.7809999999999999</v>
      </c>
      <c r="H73" s="2"/>
      <c r="I73">
        <f t="shared" si="8"/>
        <v>1.7361548846602091</v>
      </c>
      <c r="J73">
        <f t="shared" si="14"/>
        <v>-4.4845115339790853E-2</v>
      </c>
    </row>
    <row r="74" spans="1:10" x14ac:dyDescent="0.35">
      <c r="A74" s="4">
        <v>79.05</v>
      </c>
      <c r="B74" s="3">
        <f t="shared" si="9"/>
        <v>6248.9024999999992</v>
      </c>
      <c r="C74" s="3">
        <f t="shared" si="10"/>
        <v>493975.7426249999</v>
      </c>
      <c r="D74" s="3">
        <f t="shared" si="11"/>
        <v>39048782.454506241</v>
      </c>
      <c r="E74" s="3">
        <f t="shared" si="12"/>
        <v>3086806253.028718</v>
      </c>
      <c r="F74" s="3">
        <f t="shared" si="13"/>
        <v>244012034301.92017</v>
      </c>
      <c r="G74" s="2">
        <v>1.782</v>
      </c>
      <c r="H74" s="2"/>
      <c r="I74">
        <f t="shared" si="8"/>
        <v>1.6916092248866335</v>
      </c>
      <c r="J74">
        <f t="shared" si="14"/>
        <v>-9.0390775113366573E-2</v>
      </c>
    </row>
    <row r="75" spans="1:10" x14ac:dyDescent="0.35">
      <c r="A75" s="4">
        <v>79.11</v>
      </c>
      <c r="B75" s="3">
        <f t="shared" si="9"/>
        <v>6258.3921</v>
      </c>
      <c r="C75" s="3">
        <f t="shared" si="10"/>
        <v>495101.39903099998</v>
      </c>
      <c r="D75" s="3">
        <f t="shared" si="11"/>
        <v>39167471.677342407</v>
      </c>
      <c r="E75" s="3">
        <f t="shared" si="12"/>
        <v>3098538684.394558</v>
      </c>
      <c r="F75" s="3">
        <f t="shared" si="13"/>
        <v>245125395322.45346</v>
      </c>
      <c r="G75" s="2">
        <v>1.784</v>
      </c>
      <c r="H75" s="2"/>
      <c r="I75">
        <f t="shared" si="8"/>
        <v>1.6443314744101372</v>
      </c>
      <c r="J75">
        <f t="shared" si="14"/>
        <v>-0.13966852558986287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1st - 6th order</vt:lpstr>
      <vt:lpstr>Random 25% (1-6th order)</vt:lpstr>
      <vt:lpstr>Random 25% (1-6th order) (2)</vt:lpstr>
      <vt:lpstr>Tables of Max and Sum</vt:lpstr>
      <vt:lpstr>Residuals for Linear</vt:lpstr>
      <vt:lpstr>Residual for 6th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Rueschhoff</dc:creator>
  <cp:keywords/>
  <dc:description/>
  <cp:lastModifiedBy>Olivia Rueschhoff</cp:lastModifiedBy>
  <cp:revision/>
  <dcterms:created xsi:type="dcterms:W3CDTF">2023-09-15T20:08:18Z</dcterms:created>
  <dcterms:modified xsi:type="dcterms:W3CDTF">2026-01-26T16:52:19Z</dcterms:modified>
  <cp:category/>
  <cp:contentStatus/>
</cp:coreProperties>
</file>